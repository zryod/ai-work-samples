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AR Data" sheetId="1" state="visible" r:id="rId3"/>
    <sheet name="📊 Aging Summary" sheetId="2" state="visible" r:id="rId4"/>
    <sheet name="🎯 Collections Priority" sheetId="3" state="visible" r:id="rId5"/>
    <sheet name="💰 Cash Forecast" sheetId="4" state="visible" r:id="rId6"/>
    <sheet name="📝 Executiv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<sst xmlns="http://schemas.openxmlformats.org/spreadsheetml/2006/main" count="525" uniqueCount="284">
  <si>
    <t xml:space="preserve">Customer ID</t>
  </si>
  <si>
    <t xml:space="preserve">Customer Name</t>
  </si>
  <si>
    <t xml:space="preserve">Invoice #</t>
  </si>
  <si>
    <t xml:space="preserve">Invoice Date</t>
  </si>
  <si>
    <t xml:space="preserve">Due Date</t>
  </si>
  <si>
    <t xml:space="preserve">Amount ($)</t>
  </si>
  <si>
    <t xml:space="preserve">Days Outstanding</t>
  </si>
  <si>
    <t xml:space="preserve">Aging Bucket</t>
  </si>
  <si>
    <t xml:space="preserve">Last Contact Date</t>
  </si>
  <si>
    <t xml:space="preserve">Contact Method</t>
  </si>
  <si>
    <t xml:space="preserve">Dispute Flag</t>
  </si>
  <si>
    <t xml:space="preserve">Dispute Reason</t>
  </si>
  <si>
    <t xml:space="preserve">Account Manager</t>
  </si>
  <si>
    <t xml:space="preserve">Region</t>
  </si>
  <si>
    <t xml:space="preserve">Priority Score</t>
  </si>
  <si>
    <t xml:space="preserve">C001</t>
  </si>
  <si>
    <t xml:space="preserve">TechFlow Solutions</t>
  </si>
  <si>
    <t xml:space="preserve">INV-10045</t>
  </si>
  <si>
    <t xml:space="preserve">2025-01-15</t>
  </si>
  <si>
    <t xml:space="preserve">2025-02-14</t>
  </si>
  <si>
    <t xml:space="preserve">61-90 days</t>
  </si>
  <si>
    <t xml:space="preserve">2025-03-10</t>
  </si>
  <si>
    <t xml:space="preserve">Email</t>
  </si>
  <si>
    <t xml:space="preserve">No</t>
  </si>
  <si>
    <t xml:space="preserve">Sarah Chen</t>
  </si>
  <si>
    <t xml:space="preserve">North America</t>
  </si>
  <si>
    <t xml:space="preserve">High</t>
  </si>
  <si>
    <t xml:space="preserve">C002</t>
  </si>
  <si>
    <t xml:space="preserve">MedSupply Corp</t>
  </si>
  <si>
    <t xml:space="preserve">INV-10046</t>
  </si>
  <si>
    <t xml:space="preserve">2025-01-20</t>
  </si>
  <si>
    <t xml:space="preserve">2025-02-19</t>
  </si>
  <si>
    <t xml:space="preserve">2025-03-05</t>
  </si>
  <si>
    <t xml:space="preserve">Phone</t>
  </si>
  <si>
    <t xml:space="preserve">Yes</t>
  </si>
  <si>
    <t xml:space="preserve">Price dispute</t>
  </si>
  <si>
    <t xml:space="preserve">Mark Torres</t>
  </si>
  <si>
    <t xml:space="preserve">LATAM</t>
  </si>
  <si>
    <t xml:space="preserve">Critical</t>
  </si>
  <si>
    <t xml:space="preserve">C003</t>
  </si>
  <si>
    <t xml:space="preserve">Global Logistics Inc</t>
  </si>
  <si>
    <t xml:space="preserve">INV-10047</t>
  </si>
  <si>
    <t xml:space="preserve">2025-02-01</t>
  </si>
  <si>
    <t xml:space="preserve">2025-03-03</t>
  </si>
  <si>
    <t xml:space="preserve">2025-03-15</t>
  </si>
  <si>
    <t xml:space="preserve">EMEA</t>
  </si>
  <si>
    <t xml:space="preserve">Medium</t>
  </si>
  <si>
    <t xml:space="preserve">C004</t>
  </si>
  <si>
    <t xml:space="preserve">Apex Manufacturing</t>
  </si>
  <si>
    <t xml:space="preserve">INV-10048</t>
  </si>
  <si>
    <t xml:space="preserve">2025-02-10</t>
  </si>
  <si>
    <t xml:space="preserve">2025-03-12</t>
  </si>
  <si>
    <t xml:space="preserve">2025-03-20</t>
  </si>
  <si>
    <t xml:space="preserve">Video Call</t>
  </si>
  <si>
    <t xml:space="preserve">Service quality</t>
  </si>
  <si>
    <t xml:space="preserve">James Wu</t>
  </si>
  <si>
    <t xml:space="preserve">C005</t>
  </si>
  <si>
    <t xml:space="preserve">SkyNet Retail</t>
  </si>
  <si>
    <t xml:space="preserve">INV-10049</t>
  </si>
  <si>
    <t xml:space="preserve">2025-02-15</t>
  </si>
  <si>
    <t xml:space="preserve">2025-03-17</t>
  </si>
  <si>
    <t xml:space="preserve">31-60 days</t>
  </si>
  <si>
    <t xml:space="preserve">2025-03-18</t>
  </si>
  <si>
    <t xml:space="preserve">Maria Lopez</t>
  </si>
  <si>
    <t xml:space="preserve">Low</t>
  </si>
  <si>
    <t xml:space="preserve">C006</t>
  </si>
  <si>
    <t xml:space="preserve">Coastal Pharma</t>
  </si>
  <si>
    <t xml:space="preserve">INV-10050</t>
  </si>
  <si>
    <t xml:space="preserve">2025-02-20</t>
  </si>
  <si>
    <t xml:space="preserve">2025-03-22</t>
  </si>
  <si>
    <t xml:space="preserve">C007</t>
  </si>
  <si>
    <t xml:space="preserve">Nexus IT Group</t>
  </si>
  <si>
    <t xml:space="preserve">INV-10051</t>
  </si>
  <si>
    <t xml:space="preserve">2025-02-22</t>
  </si>
  <si>
    <t xml:space="preserve">2025-03-24</t>
  </si>
  <si>
    <t xml:space="preserve">C008</t>
  </si>
  <si>
    <t xml:space="preserve">BuildRight Construction</t>
  </si>
  <si>
    <t xml:space="preserve">INV-10052</t>
  </si>
  <si>
    <t xml:space="preserve">2025-02-25</t>
  </si>
  <si>
    <t xml:space="preserve">2025-03-27</t>
  </si>
  <si>
    <t xml:space="preserve">2025-03-25</t>
  </si>
  <si>
    <t xml:space="preserve">Quantity short</t>
  </si>
  <si>
    <t xml:space="preserve">C009</t>
  </si>
  <si>
    <t xml:space="preserve">EduTech Academy</t>
  </si>
  <si>
    <t xml:space="preserve">INV-10053</t>
  </si>
  <si>
    <t xml:space="preserve">2025-03-01</t>
  </si>
  <si>
    <t xml:space="preserve">2025-03-31</t>
  </si>
  <si>
    <t xml:space="preserve">2025-03-28</t>
  </si>
  <si>
    <t xml:space="preserve">C010</t>
  </si>
  <si>
    <t xml:space="preserve">Prime Distribution</t>
  </si>
  <si>
    <t xml:space="preserve">INV-10054</t>
  </si>
  <si>
    <t xml:space="preserve">2025-04-04</t>
  </si>
  <si>
    <t xml:space="preserve">1-30 days</t>
  </si>
  <si>
    <t xml:space="preserve">2025-04-01</t>
  </si>
  <si>
    <t xml:space="preserve">C011</t>
  </si>
  <si>
    <t xml:space="preserve">Horizon Energy</t>
  </si>
  <si>
    <t xml:space="preserve">INV-10055</t>
  </si>
  <si>
    <t xml:space="preserve">2025-03-08</t>
  </si>
  <si>
    <t xml:space="preserve">2025-04-07</t>
  </si>
  <si>
    <t xml:space="preserve">C012</t>
  </si>
  <si>
    <t xml:space="preserve">FastTrack Couriers</t>
  </si>
  <si>
    <t xml:space="preserve">INV-10056</t>
  </si>
  <si>
    <t xml:space="preserve">2025-04-09</t>
  </si>
  <si>
    <t xml:space="preserve">2025-04-05</t>
  </si>
  <si>
    <t xml:space="preserve">C013</t>
  </si>
  <si>
    <t xml:space="preserve">Alliance Healthcare</t>
  </si>
  <si>
    <t xml:space="preserve">INV-10057</t>
  </si>
  <si>
    <t xml:space="preserve">2025-04-11</t>
  </si>
  <si>
    <t xml:space="preserve">2025-04-08</t>
  </si>
  <si>
    <t xml:space="preserve">Contract dispute</t>
  </si>
  <si>
    <t xml:space="preserve">C014</t>
  </si>
  <si>
    <t xml:space="preserve">Metro Services LLC</t>
  </si>
  <si>
    <t xml:space="preserve">INV-10058</t>
  </si>
  <si>
    <t xml:space="preserve">2025-04-14</t>
  </si>
  <si>
    <t xml:space="preserve">C015</t>
  </si>
  <si>
    <t xml:space="preserve">Quantum Analytics</t>
  </si>
  <si>
    <t xml:space="preserve">INV-10059</t>
  </si>
  <si>
    <t xml:space="preserve">2025-04-17</t>
  </si>
  <si>
    <t xml:space="preserve">2025-04-10</t>
  </si>
  <si>
    <t xml:space="preserve">C016</t>
  </si>
  <si>
    <t xml:space="preserve">Silver Oak Wines</t>
  </si>
  <si>
    <t xml:space="preserve">INV-10060</t>
  </si>
  <si>
    <t xml:space="preserve">2025-04-19</t>
  </si>
  <si>
    <t xml:space="preserve">C017</t>
  </si>
  <si>
    <t xml:space="preserve">DeltaTech Systems</t>
  </si>
  <si>
    <t xml:space="preserve">INV-10061</t>
  </si>
  <si>
    <t xml:space="preserve">2025-04-21</t>
  </si>
  <si>
    <t xml:space="preserve">2025-04-12</t>
  </si>
  <si>
    <t xml:space="preserve">C018</t>
  </si>
  <si>
    <t xml:space="preserve">Pacific Rim Trading</t>
  </si>
  <si>
    <t xml:space="preserve">INV-10062</t>
  </si>
  <si>
    <t xml:space="preserve">2025-04-24</t>
  </si>
  <si>
    <t xml:space="preserve">C019</t>
  </si>
  <si>
    <t xml:space="preserve">Ironclad Security</t>
  </si>
  <si>
    <t xml:space="preserve">INV-10063</t>
  </si>
  <si>
    <t xml:space="preserve">2025-04-27</t>
  </si>
  <si>
    <t xml:space="preserve">2025-04-15</t>
  </si>
  <si>
    <t xml:space="preserve">C020</t>
  </si>
  <si>
    <t xml:space="preserve">BrightPath Education</t>
  </si>
  <si>
    <t xml:space="preserve">INV-10064</t>
  </si>
  <si>
    <t xml:space="preserve">2025-05-01</t>
  </si>
  <si>
    <t xml:space="preserve">Current</t>
  </si>
  <si>
    <t xml:space="preserve">C021</t>
  </si>
  <si>
    <t xml:space="preserve">OmniCare Health</t>
  </si>
  <si>
    <t xml:space="preserve">INV-10065</t>
  </si>
  <si>
    <t xml:space="preserve">2025-04-03</t>
  </si>
  <si>
    <t xml:space="preserve">2025-05-03</t>
  </si>
  <si>
    <t xml:space="preserve">C022</t>
  </si>
  <si>
    <t xml:space="preserve">Summit Financial</t>
  </si>
  <si>
    <t xml:space="preserve">INV-10066</t>
  </si>
  <si>
    <t xml:space="preserve">2025-05-05</t>
  </si>
  <si>
    <t xml:space="preserve">C023</t>
  </si>
  <si>
    <t xml:space="preserve">RedStar Imports</t>
  </si>
  <si>
    <t xml:space="preserve">INV-10067</t>
  </si>
  <si>
    <t xml:space="preserve">2025-01-05</t>
  </si>
  <si>
    <t xml:space="preserve">2025-02-04</t>
  </si>
  <si>
    <t xml:space="preserve">91+ days</t>
  </si>
  <si>
    <t xml:space="preserve">2025-02-28</t>
  </si>
  <si>
    <t xml:space="preserve">Non-delivery claim</t>
  </si>
  <si>
    <t xml:space="preserve">C024</t>
  </si>
  <si>
    <t xml:space="preserve">Titan Aerospace</t>
  </si>
  <si>
    <t xml:space="preserve">INV-10068</t>
  </si>
  <si>
    <t xml:space="preserve">2025-12-15</t>
  </si>
  <si>
    <t xml:space="preserve">2026-01-14</t>
  </si>
  <si>
    <t xml:space="preserve">Billing error</t>
  </si>
  <si>
    <t xml:space="preserve">C025</t>
  </si>
  <si>
    <t xml:space="preserve">BlueSky Media</t>
  </si>
  <si>
    <t xml:space="preserve">INV-10069</t>
  </si>
  <si>
    <t xml:space="preserve">2025-01-10</t>
  </si>
  <si>
    <t xml:space="preserve">2025-02-09</t>
  </si>
  <si>
    <t xml:space="preserve">AR AGING INTELLIGENCE DASHBOARD</t>
  </si>
  <si>
    <t xml:space="preserve">AI-Assisted Collections &amp; Risk Analysis  |  Generated: May 14, 2026</t>
  </si>
  <si>
    <t xml:space="preserve">AGING BUCKET ANALYSIS</t>
  </si>
  <si>
    <t xml:space="preserve"># Invoices</t>
  </si>
  <si>
    <t xml:space="preserve">Total Outstanding ($)</t>
  </si>
  <si>
    <t xml:space="preserve">% of AR</t>
  </si>
  <si>
    <t xml:space="preserve"># Disputes</t>
  </si>
  <si>
    <t xml:space="preserve">Dispute Amount ($)</t>
  </si>
  <si>
    <t xml:space="preserve">Risk Level</t>
  </si>
  <si>
    <t xml:space="preserve">Action Required</t>
  </si>
  <si>
    <t xml:space="preserve">✅ Low</t>
  </si>
  <si>
    <t xml:space="preserve">Monitor — no immediate action</t>
  </si>
  <si>
    <t xml:space="preserve">1-30 Days</t>
  </si>
  <si>
    <t xml:space="preserve">🟡 Medium</t>
  </si>
  <si>
    <t xml:space="preserve">Send courtesy reminder — automated</t>
  </si>
  <si>
    <t xml:space="preserve">31-60 Days</t>
  </si>
  <si>
    <t xml:space="preserve">🟠 High</t>
  </si>
  <si>
    <t xml:space="preserve">Direct outreach — escalate disputes</t>
  </si>
  <si>
    <t xml:space="preserve">61-90 Days</t>
  </si>
  <si>
    <t xml:space="preserve">🔴 Critical</t>
  </si>
  <si>
    <t xml:space="preserve">Immediate call + legal review</t>
  </si>
  <si>
    <t xml:space="preserve">91+ Days</t>
  </si>
  <si>
    <t xml:space="preserve">💀 Write-off Risk</t>
  </si>
  <si>
    <t xml:space="preserve">Escalate to collections/legal NOW</t>
  </si>
  <si>
    <t xml:space="preserve">TOTAL</t>
  </si>
  <si>
    <t xml:space="preserve">100%</t>
  </si>
  <si>
    <t xml:space="preserve">KEY PERFORMANCE INDICATORS</t>
  </si>
  <si>
    <t xml:space="preserve">Total AR ($)</t>
  </si>
  <si>
    <t xml:space="preserve">Total Invoices</t>
  </si>
  <si>
    <t xml:space="preserve">Disputed ($)</t>
  </si>
  <si>
    <t xml:space="preserve">Dispute Rate</t>
  </si>
  <si>
    <t xml:space="preserve">Critical Accounts</t>
  </si>
  <si>
    <t xml:space="preserve">Avg Days Outstanding</t>
  </si>
  <si>
    <t xml:space="preserve">At-Risk %</t>
  </si>
  <si>
    <t xml:space="preserve">DSO (Est.)</t>
  </si>
  <si>
    <t xml:space="preserve">BY REGION</t>
  </si>
  <si>
    <t xml:space="preserve">BY ACCOUNT MANAGER</t>
  </si>
  <si>
    <t xml:space="preserve">Total ($)</t>
  </si>
  <si>
    <t xml:space="preserve">AI-ASSISTED COLLECTIONS PRIORITY LIST</t>
  </si>
  <si>
    <t xml:space="preserve">⚡ Ranked by Priority Score · Dispute Status · Days Outstanding · Amount at Risk</t>
  </si>
  <si>
    <t xml:space="preserve">Priority</t>
  </si>
  <si>
    <t xml:space="preserve">Days Out</t>
  </si>
  <si>
    <t xml:space="preserve">Dispute</t>
  </si>
  <si>
    <t xml:space="preserve">Account Mgr</t>
  </si>
  <si>
    <t xml:space="preserve">AI Recommended Action</t>
  </si>
  <si>
    <t xml:space="preserve">Next Step Deadline</t>
  </si>
  <si>
    <t xml:space="preserve">🚨 ESCALATE TO LEGAL — 119 days outstanding. Billing error dispute open. Schedule executive video call within 24hrs. Prepare credit memo if error confirmed.</t>
  </si>
  <si>
    <t xml:space="preserve">IMMEDIATE</t>
  </si>
  <si>
    <t xml:space="preserve">🚨 CONTRACT DISPUTE — $156K at risk. Early intervention critical before aging worsens. Loop in Sales VP and Legal. Propose mediation call this week.</t>
  </si>
  <si>
    <t xml:space="preserve">48 HOURS</t>
  </si>
  <si>
    <t xml:space="preserve">🔴 SERVICE DISPUTE — 61 days + service quality complaint. Risk of write-off escalating. Assign senior collector. Offer partial credit to unlock payment.</t>
  </si>
  <si>
    <t xml:space="preserve">72 HOURS</t>
  </si>
  <si>
    <t xml:space="preserve">⚠️ LARGEST BALANCE — Current but monitor closely. No contact made yet. Send proactive relationship check-in. Confirm PO and payment terms alignment.</t>
  </si>
  <si>
    <t xml:space="preserve">2 WEEKS</t>
  </si>
  <si>
    <t xml:space="preserve">🚨 NON-DELIVERY CLAIM — 98 days + dispute. Verify delivery records immediately. If confirmed delivered, send proof and demand payment. If not, issue credit.</t>
  </si>
  <si>
    <t xml:space="preserve">🔴 PRICE DISPUTE — Request pricing contract. If error: issue corrected invoice. If correct: provide documentation + payment plan for remaining balance.</t>
  </si>
  <si>
    <t xml:space="preserve">🔴 91+ DAYS — No dispute but no payment. Escalate to collections agency if no response within 5 days. Send final demand letter today.</t>
  </si>
  <si>
    <t xml:space="preserve">5 DAYS</t>
  </si>
  <si>
    <t xml:space="preserve">🟠 FOLLOW-UP REQUIRED — 88 days, no dispute. Third reminder call. Offer structured payment plan (50% now + 50% in 30 days). Document commitment in writing.</t>
  </si>
  <si>
    <t xml:space="preserve">3 DAYS</t>
  </si>
  <si>
    <t xml:space="preserve">🟠 PROACTIVE OUTREACH — $67K approaching critical zone. Send personalized email with payment options. Confirm invoice receipt and PO match.</t>
  </si>
  <si>
    <t xml:space="preserve">1 WEEK</t>
  </si>
  <si>
    <t xml:space="preserve">🟠 QUANTITY DISPUTE — Verify delivery note vs invoice. If short-delivered: issue partial credit. If correct: send proof. Request payment for undisputed portion.</t>
  </si>
  <si>
    <t xml:space="preserve">🟡 MONITOR — $89K approaching 30-day mark. Send courtesy reminder. High-value account — personal touch preferred over automated email.</t>
  </si>
  <si>
    <t xml:space="preserve">10 DAYS</t>
  </si>
  <si>
    <t xml:space="preserve">🟡 COURTESY REMINDER — Send automated reminder. No action needed yet unless no read receipt.</t>
  </si>
  <si>
    <t xml:space="preserve">🟡 MONITOR — Large balance, early stage. Confirm delivery acknowledgment on file. Flag for priority follow-up at 30-day mark.</t>
  </si>
  <si>
    <t xml:space="preserve">30-DAY CASH RECOVERY FORECAST</t>
  </si>
  <si>
    <t xml:space="preserve">AI-estimated recovery probability by bucket based on historical collection patterns</t>
  </si>
  <si>
    <t xml:space="preserve">RECOVERY RATE ASSUMPTIONS (Adjustable — Blue = Input)</t>
  </si>
  <si>
    <t xml:space="preserve">Bucket</t>
  </si>
  <si>
    <t xml:space="preserve">Recovery Rate %</t>
  </si>
  <si>
    <t xml:space="preserve">Rationale</t>
  </si>
  <si>
    <t xml:space="preserve">Industry benchmark — high likelihood</t>
  </si>
  <si>
    <t xml:space="preserve">Minor delays expected — still collectible</t>
  </si>
  <si>
    <t xml:space="preserve">Requires active outreach — moderate risk</t>
  </si>
  <si>
    <t xml:space="preserve">High risk — disputes likely to delay</t>
  </si>
  <si>
    <t xml:space="preserve">Write-off risk — legal/collections likely</t>
  </si>
  <si>
    <t xml:space="preserve">PROJECTED CASH RECOVERY — NEXT 30 DAYS</t>
  </si>
  <si>
    <t xml:space="preserve">Recovery Rate</t>
  </si>
  <si>
    <t xml:space="preserve">Expected Recovery ($)</t>
  </si>
  <si>
    <t xml:space="preserve">At-Risk ($)</t>
  </si>
  <si>
    <t xml:space="preserve">Dispute Exposure ($)</t>
  </si>
  <si>
    <t xml:space="preserve">Net Collectible ($)</t>
  </si>
  <si>
    <t xml:space="preserve">💡 AI INSIGHT: Focus collections effort on 61-90 day bucket — highest ROI per hour of collector time. Disputes in 91+ days require legal review before further calls.</t>
  </si>
  <si>
    <t xml:space="preserve">WEEKLY AR EXECUTIVE SUMMARY</t>
  </si>
  <si>
    <t xml:space="preserve">Auto-Generated from AR Data  |  Prepared by: Joel Solís  |  May 14, 2026</t>
  </si>
  <si>
    <t xml:space="preserve">  📊 PORTFOLIO OVERVIEW</t>
  </si>
  <si>
    <t xml:space="preserve">▸ Total AR Outstanding</t>
  </si>
  <si>
    <t xml:space="preserve">Full portfolio value</t>
  </si>
  <si>
    <t xml:space="preserve">▸ Total Invoices</t>
  </si>
  <si>
    <t xml:space="preserve">Active invoice count</t>
  </si>
  <si>
    <t xml:space="preserve">▸ Projected 30-Day Recovery</t>
  </si>
  <si>
    <t xml:space="preserve">Based on AI recovery rates</t>
  </si>
  <si>
    <t xml:space="preserve">▸ Total At-Risk Amount</t>
  </si>
  <si>
    <t xml:space="preserve">Expected non-recovery</t>
  </si>
  <si>
    <t xml:space="preserve">▸ Total Dispute Exposure</t>
  </si>
  <si>
    <t xml:space="preserve">Actively disputed invoices</t>
  </si>
  <si>
    <t xml:space="preserve">  🚨 CRITICAL ACTIONS — THIS WEEK</t>
  </si>
  <si>
    <t xml:space="preserve">  1. Titan Aerospace (INV-10068)</t>
  </si>
  <si>
    <t xml:space="preserve">$195,000 — 119 days — Billing error dispute — LEGAL ESCALATION REQUIRED</t>
  </si>
  <si>
    <t xml:space="preserve">  2. Alliance Healthcare (INV-10057)</t>
  </si>
  <si>
    <t xml:space="preserve">$156,000 — 31 days — Contract dispute — EXEC INTERVENTION THIS WEEK</t>
  </si>
  <si>
    <t xml:space="preserve">  3. RedStar Imports (INV-10067)</t>
  </si>
  <si>
    <t xml:space="preserve">$38,400 — 98 days — Non-delivery claim — VERIFY DELIVERY RECORDS TODAY</t>
  </si>
  <si>
    <t xml:space="preserve">  4. Apex Manufacturing (INV-10048)</t>
  </si>
  <si>
    <t xml:space="preserve">$125,000 — 61 days — Service dispute — SENIOR COLLECTOR ASSIGNED</t>
  </si>
  <si>
    <t xml:space="preserve">  💡 AI-GENERATED INSIGHTS &amp; RECOMMENDATIONS</t>
  </si>
  <si>
    <t xml:space="preserve">  • James Wu manages 5 of the top 6 highest-value at-risk accounts — consider redistributing load or escalating support.</t>
  </si>
  <si>
    <t xml:space="preserve">  • 91+ day bucket represents 3 invoices but disproportionate write-off risk — legal review recommended before further collector calls.</t>
  </si>
  <si>
    <t xml:space="preserve">  • 61-90 day bucket has highest ROI for active collections effort — prioritize this bucket for this week's outreach campaign.</t>
  </si>
  <si>
    <t xml:space="preserve">  • OmniCare Health ($234,500 — Current) is the largest single balance with no contact logged — proactive outreach recommended immediately.</t>
  </si>
  <si>
    <t xml:space="preserve">  • Dispute rate across portfolio is elevated in 61-90 day range — review billing process for systematic errors causing short payments.</t>
  </si>
  <si>
    <t xml:space="preserve">This summary is auto-generated from live AR data. All figures pull dynamically from the AR Data tab. Adjust recovery rate assumptions in 💰 Cash Forecast to model different scenarios.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</si>
</sst>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General"/>
    <numFmt numFmtId="167" formatCode="\$#,##0"/>
    <numFmt numFmtId="168" formatCode="0.0%"/>
    <numFmt numFmtId="169" formatCode="0"/>
    <numFmt numFmtId="170" formatCode="0.0"/>
    <numFmt numFmtId="171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806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59595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4"/>
      <color rgb="FFED7D31"/>
      <name val="Arial"/>
      <family val="0"/>
      <charset val="1"/>
    </font>
    <font>
      <b val="true"/>
      <sz val="14"/>
      <color rgb="FF703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70AD47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i val="true"/>
      <sz val="9"/>
      <color rgb="FF1F4E7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CE4D6"/>
        <bgColor rgb="FFFFDAD6"/>
      </patternFill>
    </fill>
    <fill>
      <patternFill patternType="solid">
        <fgColor rgb="FFFFDAD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375623"/>
      </patternFill>
    </fill>
    <fill>
      <patternFill patternType="solid">
        <fgColor rgb="FFBDD7EE"/>
        <bgColor rgb="FF99CCFF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BF3FB"/>
      </patternFill>
    </fill>
    <fill>
      <patternFill patternType="solid">
        <fgColor rgb="FF375623"/>
        <bgColor rgb="FF595959"/>
      </patternFill>
    </fill>
    <fill>
      <patternFill patternType="solid">
        <fgColor rgb="FF70AD47"/>
        <bgColor rgb="FF339966"/>
      </patternFill>
    </fill>
    <fill>
      <patternFill patternType="solid">
        <fgColor rgb="FFEBF3FB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F2F2F2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99CCFF"/>
      <rgbColor rgb="FFFF99CC"/>
      <rgbColor rgb="FFCC99FF"/>
      <rgbColor rgb="FFFFDA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n">
        <v>12500</v>
      </c>
      <c r="G2" s="2" t="n">
        <v>88</v>
      </c>
      <c r="H2" s="4" t="s">
        <v>20</v>
      </c>
      <c r="I2" s="2" t="s">
        <v>21</v>
      </c>
      <c r="J2" s="2" t="s">
        <v>22</v>
      </c>
      <c r="K2" s="2" t="s">
        <v>23</v>
      </c>
      <c r="L2" s="2"/>
      <c r="M2" s="2" t="s">
        <v>24</v>
      </c>
      <c r="N2" s="2" t="s">
        <v>25</v>
      </c>
      <c r="O2" s="4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6" t="n">
        <v>47800</v>
      </c>
      <c r="G3" s="5" t="n">
        <v>83</v>
      </c>
      <c r="H3" s="4" t="s">
        <v>20</v>
      </c>
      <c r="I3" s="5" t="s">
        <v>32</v>
      </c>
      <c r="J3" s="5" t="s">
        <v>33</v>
      </c>
      <c r="K3" s="7" t="s">
        <v>34</v>
      </c>
      <c r="L3" s="5" t="s">
        <v>35</v>
      </c>
      <c r="M3" s="5" t="s">
        <v>36</v>
      </c>
      <c r="N3" s="5" t="s">
        <v>37</v>
      </c>
      <c r="O3" s="8" t="s">
        <v>38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3" t="n">
        <v>8900</v>
      </c>
      <c r="G4" s="2" t="n">
        <v>70</v>
      </c>
      <c r="H4" s="4" t="s">
        <v>20</v>
      </c>
      <c r="I4" s="2" t="s">
        <v>44</v>
      </c>
      <c r="J4" s="2" t="s">
        <v>22</v>
      </c>
      <c r="K4" s="2" t="s">
        <v>23</v>
      </c>
      <c r="L4" s="2"/>
      <c r="M4" s="2" t="s">
        <v>24</v>
      </c>
      <c r="N4" s="2" t="s">
        <v>45</v>
      </c>
      <c r="O4" s="9" t="s">
        <v>46</v>
      </c>
    </row>
    <row r="5" customFormat="false" ht="15" hidden="false" customHeight="false" outlineLevel="0" collapsed="false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6" t="n">
        <v>125000</v>
      </c>
      <c r="G5" s="5" t="n">
        <v>61</v>
      </c>
      <c r="H5" s="4" t="s">
        <v>20</v>
      </c>
      <c r="I5" s="5" t="s">
        <v>52</v>
      </c>
      <c r="J5" s="5" t="s">
        <v>53</v>
      </c>
      <c r="K5" s="7" t="s">
        <v>34</v>
      </c>
      <c r="L5" s="5" t="s">
        <v>54</v>
      </c>
      <c r="M5" s="5" t="s">
        <v>55</v>
      </c>
      <c r="N5" s="5" t="s">
        <v>25</v>
      </c>
      <c r="O5" s="8" t="s">
        <v>38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3" t="n">
        <v>3200</v>
      </c>
      <c r="G6" s="2" t="n">
        <v>56</v>
      </c>
      <c r="H6" s="10" t="s">
        <v>61</v>
      </c>
      <c r="I6" s="2" t="s">
        <v>62</v>
      </c>
      <c r="J6" s="2" t="s">
        <v>22</v>
      </c>
      <c r="K6" s="2" t="s">
        <v>23</v>
      </c>
      <c r="L6" s="2"/>
      <c r="M6" s="2" t="s">
        <v>63</v>
      </c>
      <c r="N6" s="2" t="s">
        <v>37</v>
      </c>
      <c r="O6" s="9" t="s">
        <v>64</v>
      </c>
    </row>
    <row r="7" customFormat="false" ht="15" hidden="false" customHeight="false" outlineLevel="0" collapsed="false">
      <c r="A7" s="5" t="s">
        <v>65</v>
      </c>
      <c r="B7" s="5" t="s">
        <v>66</v>
      </c>
      <c r="C7" s="5" t="s">
        <v>67</v>
      </c>
      <c r="D7" s="5" t="s">
        <v>68</v>
      </c>
      <c r="E7" s="5" t="s">
        <v>69</v>
      </c>
      <c r="F7" s="6" t="n">
        <v>67400</v>
      </c>
      <c r="G7" s="5" t="n">
        <v>51</v>
      </c>
      <c r="H7" s="10" t="s">
        <v>61</v>
      </c>
      <c r="I7" s="5" t="s">
        <v>69</v>
      </c>
      <c r="J7" s="5" t="s">
        <v>33</v>
      </c>
      <c r="K7" s="5" t="s">
        <v>23</v>
      </c>
      <c r="L7" s="5"/>
      <c r="M7" s="5" t="s">
        <v>55</v>
      </c>
      <c r="N7" s="5" t="s">
        <v>25</v>
      </c>
      <c r="O7" s="4" t="s">
        <v>26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3" t="n">
        <v>15600</v>
      </c>
      <c r="G8" s="2" t="n">
        <v>49</v>
      </c>
      <c r="H8" s="10" t="s">
        <v>61</v>
      </c>
      <c r="I8" s="2" t="s">
        <v>74</v>
      </c>
      <c r="J8" s="2" t="s">
        <v>22</v>
      </c>
      <c r="K8" s="2" t="s">
        <v>23</v>
      </c>
      <c r="L8" s="2"/>
      <c r="M8" s="2" t="s">
        <v>24</v>
      </c>
      <c r="N8" s="2" t="s">
        <v>45</v>
      </c>
      <c r="O8" s="9" t="s">
        <v>46</v>
      </c>
    </row>
    <row r="9" customFormat="false" ht="15" hidden="false" customHeight="false" outlineLevel="0" collapsed="false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6" t="n">
        <v>28900</v>
      </c>
      <c r="G9" s="5" t="n">
        <v>46</v>
      </c>
      <c r="H9" s="10" t="s">
        <v>61</v>
      </c>
      <c r="I9" s="5" t="s">
        <v>80</v>
      </c>
      <c r="J9" s="5" t="s">
        <v>33</v>
      </c>
      <c r="K9" s="7" t="s">
        <v>34</v>
      </c>
      <c r="L9" s="5" t="s">
        <v>81</v>
      </c>
      <c r="M9" s="5" t="s">
        <v>36</v>
      </c>
      <c r="N9" s="5" t="s">
        <v>25</v>
      </c>
      <c r="O9" s="4" t="s">
        <v>26</v>
      </c>
    </row>
    <row r="10" customFormat="false" ht="15" hidden="false" customHeight="false" outlineLevel="0" collapsed="false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3" t="n">
        <v>5400</v>
      </c>
      <c r="G10" s="2" t="n">
        <v>42</v>
      </c>
      <c r="H10" s="10" t="s">
        <v>61</v>
      </c>
      <c r="I10" s="2" t="s">
        <v>87</v>
      </c>
      <c r="J10" s="2" t="s">
        <v>22</v>
      </c>
      <c r="K10" s="2" t="s">
        <v>23</v>
      </c>
      <c r="L10" s="2"/>
      <c r="M10" s="2" t="s">
        <v>63</v>
      </c>
      <c r="N10" s="2" t="s">
        <v>37</v>
      </c>
      <c r="O10" s="9" t="s">
        <v>64</v>
      </c>
    </row>
    <row r="11" customFormat="false" ht="15" hidden="false" customHeight="false" outlineLevel="0" collapsed="false">
      <c r="A11" s="5" t="s">
        <v>88</v>
      </c>
      <c r="B11" s="5" t="s">
        <v>89</v>
      </c>
      <c r="C11" s="5" t="s">
        <v>90</v>
      </c>
      <c r="D11" s="5" t="s">
        <v>32</v>
      </c>
      <c r="E11" s="5" t="s">
        <v>91</v>
      </c>
      <c r="F11" s="6" t="n">
        <v>89300</v>
      </c>
      <c r="G11" s="5" t="n">
        <v>38</v>
      </c>
      <c r="H11" s="11" t="s">
        <v>92</v>
      </c>
      <c r="I11" s="5" t="s">
        <v>93</v>
      </c>
      <c r="J11" s="5" t="s">
        <v>22</v>
      </c>
      <c r="K11" s="5" t="s">
        <v>23</v>
      </c>
      <c r="L11" s="5"/>
      <c r="M11" s="5" t="s">
        <v>55</v>
      </c>
      <c r="N11" s="5" t="s">
        <v>25</v>
      </c>
      <c r="O11" s="4" t="s">
        <v>26</v>
      </c>
    </row>
    <row r="12" customFormat="false" ht="15" hidden="false" customHeight="false" outlineLevel="0" collapsed="false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3" t="n">
        <v>42100</v>
      </c>
      <c r="G12" s="2" t="n">
        <v>35</v>
      </c>
      <c r="H12" s="11" t="s">
        <v>92</v>
      </c>
      <c r="I12" s="2"/>
      <c r="J12" s="2"/>
      <c r="K12" s="2" t="s">
        <v>23</v>
      </c>
      <c r="L12" s="2"/>
      <c r="M12" s="2" t="s">
        <v>24</v>
      </c>
      <c r="N12" s="2" t="s">
        <v>45</v>
      </c>
      <c r="O12" s="9" t="s">
        <v>46</v>
      </c>
    </row>
    <row r="13" customFormat="false" ht="15" hidden="false" customHeight="false" outlineLevel="0" collapsed="false">
      <c r="A13" s="5" t="s">
        <v>99</v>
      </c>
      <c r="B13" s="5" t="s">
        <v>100</v>
      </c>
      <c r="C13" s="5" t="s">
        <v>101</v>
      </c>
      <c r="D13" s="5" t="s">
        <v>21</v>
      </c>
      <c r="E13" s="5" t="s">
        <v>102</v>
      </c>
      <c r="F13" s="6" t="n">
        <v>7800</v>
      </c>
      <c r="G13" s="5" t="n">
        <v>33</v>
      </c>
      <c r="H13" s="11" t="s">
        <v>92</v>
      </c>
      <c r="I13" s="5" t="s">
        <v>103</v>
      </c>
      <c r="J13" s="5" t="s">
        <v>22</v>
      </c>
      <c r="K13" s="5" t="s">
        <v>23</v>
      </c>
      <c r="L13" s="5"/>
      <c r="M13" s="5" t="s">
        <v>36</v>
      </c>
      <c r="N13" s="5" t="s">
        <v>37</v>
      </c>
      <c r="O13" s="12" t="s">
        <v>64</v>
      </c>
    </row>
    <row r="14" customFormat="false" ht="15" hidden="false" customHeight="false" outlineLevel="0" collapsed="false">
      <c r="A14" s="2" t="s">
        <v>104</v>
      </c>
      <c r="B14" s="2" t="s">
        <v>105</v>
      </c>
      <c r="C14" s="2" t="s">
        <v>106</v>
      </c>
      <c r="D14" s="2" t="s">
        <v>51</v>
      </c>
      <c r="E14" s="2" t="s">
        <v>107</v>
      </c>
      <c r="F14" s="3" t="n">
        <v>156000</v>
      </c>
      <c r="G14" s="2" t="n">
        <v>31</v>
      </c>
      <c r="H14" s="11" t="s">
        <v>92</v>
      </c>
      <c r="I14" s="2" t="s">
        <v>108</v>
      </c>
      <c r="J14" s="2" t="s">
        <v>53</v>
      </c>
      <c r="K14" s="7" t="s">
        <v>34</v>
      </c>
      <c r="L14" s="2" t="s">
        <v>109</v>
      </c>
      <c r="M14" s="2" t="s">
        <v>55</v>
      </c>
      <c r="N14" s="2" t="s">
        <v>25</v>
      </c>
      <c r="O14" s="8" t="s">
        <v>38</v>
      </c>
    </row>
    <row r="15" customFormat="false" ht="15" hidden="false" customHeight="false" outlineLevel="0" collapsed="false">
      <c r="A15" s="5" t="s">
        <v>110</v>
      </c>
      <c r="B15" s="5" t="s">
        <v>111</v>
      </c>
      <c r="C15" s="5" t="s">
        <v>112</v>
      </c>
      <c r="D15" s="5" t="s">
        <v>44</v>
      </c>
      <c r="E15" s="5" t="s">
        <v>113</v>
      </c>
      <c r="F15" s="6" t="n">
        <v>19500</v>
      </c>
      <c r="G15" s="5" t="n">
        <v>28</v>
      </c>
      <c r="H15" s="11" t="s">
        <v>92</v>
      </c>
      <c r="I15" s="5"/>
      <c r="J15" s="5"/>
      <c r="K15" s="5" t="s">
        <v>23</v>
      </c>
      <c r="L15" s="5"/>
      <c r="M15" s="5" t="s">
        <v>63</v>
      </c>
      <c r="N15" s="5" t="s">
        <v>45</v>
      </c>
      <c r="O15" s="12" t="s">
        <v>46</v>
      </c>
    </row>
    <row r="16" customFormat="false" ht="15" hidden="false" customHeight="false" outlineLevel="0" collapsed="false">
      <c r="A16" s="2" t="s">
        <v>114</v>
      </c>
      <c r="B16" s="2" t="s">
        <v>115</v>
      </c>
      <c r="C16" s="2" t="s">
        <v>116</v>
      </c>
      <c r="D16" s="2" t="s">
        <v>62</v>
      </c>
      <c r="E16" s="2" t="s">
        <v>117</v>
      </c>
      <c r="F16" s="3" t="n">
        <v>33700</v>
      </c>
      <c r="G16" s="2" t="n">
        <v>25</v>
      </c>
      <c r="H16" s="11" t="s">
        <v>92</v>
      </c>
      <c r="I16" s="2" t="s">
        <v>118</v>
      </c>
      <c r="J16" s="2" t="s">
        <v>22</v>
      </c>
      <c r="K16" s="2" t="s">
        <v>23</v>
      </c>
      <c r="L16" s="2"/>
      <c r="M16" s="2" t="s">
        <v>24</v>
      </c>
      <c r="N16" s="2" t="s">
        <v>25</v>
      </c>
      <c r="O16" s="9" t="s">
        <v>46</v>
      </c>
    </row>
    <row r="17" customFormat="false" ht="15" hidden="false" customHeight="false" outlineLevel="0" collapsed="false">
      <c r="A17" s="5" t="s">
        <v>119</v>
      </c>
      <c r="B17" s="5" t="s">
        <v>120</v>
      </c>
      <c r="C17" s="5" t="s">
        <v>121</v>
      </c>
      <c r="D17" s="5" t="s">
        <v>52</v>
      </c>
      <c r="E17" s="5" t="s">
        <v>122</v>
      </c>
      <c r="F17" s="6" t="n">
        <v>6100</v>
      </c>
      <c r="G17" s="5" t="n">
        <v>23</v>
      </c>
      <c r="H17" s="11" t="s">
        <v>92</v>
      </c>
      <c r="I17" s="5"/>
      <c r="J17" s="5"/>
      <c r="K17" s="5" t="s">
        <v>23</v>
      </c>
      <c r="L17" s="5"/>
      <c r="M17" s="5" t="s">
        <v>36</v>
      </c>
      <c r="N17" s="5" t="s">
        <v>37</v>
      </c>
      <c r="O17" s="12" t="s">
        <v>64</v>
      </c>
    </row>
    <row r="18" customFormat="false" ht="15" hidden="false" customHeight="false" outlineLevel="0" collapsed="false">
      <c r="A18" s="2" t="s">
        <v>123</v>
      </c>
      <c r="B18" s="2" t="s">
        <v>124</v>
      </c>
      <c r="C18" s="2" t="s">
        <v>125</v>
      </c>
      <c r="D18" s="2" t="s">
        <v>69</v>
      </c>
      <c r="E18" s="2" t="s">
        <v>126</v>
      </c>
      <c r="F18" s="3" t="n">
        <v>78900</v>
      </c>
      <c r="G18" s="2" t="n">
        <v>21</v>
      </c>
      <c r="H18" s="11" t="s">
        <v>92</v>
      </c>
      <c r="I18" s="2" t="s">
        <v>127</v>
      </c>
      <c r="J18" s="2" t="s">
        <v>22</v>
      </c>
      <c r="K18" s="2" t="s">
        <v>23</v>
      </c>
      <c r="L18" s="2"/>
      <c r="M18" s="2" t="s">
        <v>55</v>
      </c>
      <c r="N18" s="2" t="s">
        <v>25</v>
      </c>
      <c r="O18" s="4" t="s">
        <v>26</v>
      </c>
    </row>
    <row r="19" customFormat="false" ht="15" hidden="false" customHeight="false" outlineLevel="0" collapsed="false">
      <c r="A19" s="5" t="s">
        <v>128</v>
      </c>
      <c r="B19" s="5" t="s">
        <v>129</v>
      </c>
      <c r="C19" s="5" t="s">
        <v>130</v>
      </c>
      <c r="D19" s="5" t="s">
        <v>80</v>
      </c>
      <c r="E19" s="5" t="s">
        <v>131</v>
      </c>
      <c r="F19" s="6" t="n">
        <v>14200</v>
      </c>
      <c r="G19" s="5" t="n">
        <v>18</v>
      </c>
      <c r="H19" s="11" t="s">
        <v>92</v>
      </c>
      <c r="I19" s="5"/>
      <c r="J19" s="5"/>
      <c r="K19" s="5" t="s">
        <v>23</v>
      </c>
      <c r="L19" s="5"/>
      <c r="M19" s="5" t="s">
        <v>24</v>
      </c>
      <c r="N19" s="5" t="s">
        <v>45</v>
      </c>
      <c r="O19" s="12" t="s">
        <v>64</v>
      </c>
    </row>
    <row r="20" customFormat="false" ht="15" hidden="false" customHeight="false" outlineLevel="0" collapsed="false">
      <c r="A20" s="2" t="s">
        <v>132</v>
      </c>
      <c r="B20" s="2" t="s">
        <v>133</v>
      </c>
      <c r="C20" s="2" t="s">
        <v>134</v>
      </c>
      <c r="D20" s="2" t="s">
        <v>87</v>
      </c>
      <c r="E20" s="2" t="s">
        <v>135</v>
      </c>
      <c r="F20" s="3" t="n">
        <v>52300</v>
      </c>
      <c r="G20" s="2" t="n">
        <v>15</v>
      </c>
      <c r="H20" s="11" t="s">
        <v>92</v>
      </c>
      <c r="I20" s="2" t="s">
        <v>136</v>
      </c>
      <c r="J20" s="2" t="s">
        <v>33</v>
      </c>
      <c r="K20" s="2" t="s">
        <v>23</v>
      </c>
      <c r="L20" s="2"/>
      <c r="M20" s="2" t="s">
        <v>63</v>
      </c>
      <c r="N20" s="2" t="s">
        <v>25</v>
      </c>
      <c r="O20" s="4" t="s">
        <v>26</v>
      </c>
    </row>
    <row r="21" customFormat="false" ht="15" hidden="false" customHeight="false" outlineLevel="0" collapsed="false">
      <c r="A21" s="5" t="s">
        <v>137</v>
      </c>
      <c r="B21" s="5" t="s">
        <v>138</v>
      </c>
      <c r="C21" s="5" t="s">
        <v>139</v>
      </c>
      <c r="D21" s="5" t="s">
        <v>93</v>
      </c>
      <c r="E21" s="5" t="s">
        <v>140</v>
      </c>
      <c r="F21" s="6" t="n">
        <v>9800</v>
      </c>
      <c r="G21" s="5" t="n">
        <v>12</v>
      </c>
      <c r="H21" s="12" t="s">
        <v>141</v>
      </c>
      <c r="I21" s="5"/>
      <c r="J21" s="5"/>
      <c r="K21" s="5" t="s">
        <v>23</v>
      </c>
      <c r="L21" s="5"/>
      <c r="M21" s="5" t="s">
        <v>36</v>
      </c>
      <c r="N21" s="5" t="s">
        <v>37</v>
      </c>
      <c r="O21" s="12" t="s">
        <v>64</v>
      </c>
    </row>
    <row r="22" customFormat="false" ht="15" hidden="false" customHeight="false" outlineLevel="0" collapsed="false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146</v>
      </c>
      <c r="F22" s="3" t="n">
        <v>234500</v>
      </c>
      <c r="G22" s="2" t="n">
        <v>10</v>
      </c>
      <c r="H22" s="9" t="s">
        <v>141</v>
      </c>
      <c r="I22" s="2"/>
      <c r="J22" s="2"/>
      <c r="K22" s="2" t="s">
        <v>23</v>
      </c>
      <c r="L22" s="2"/>
      <c r="M22" s="2" t="s">
        <v>55</v>
      </c>
      <c r="N22" s="2" t="s">
        <v>25</v>
      </c>
      <c r="O22" s="8" t="s">
        <v>38</v>
      </c>
    </row>
    <row r="23" customFormat="false" ht="15" hidden="false" customHeight="false" outlineLevel="0" collapsed="false">
      <c r="A23" s="5" t="s">
        <v>147</v>
      </c>
      <c r="B23" s="5" t="s">
        <v>148</v>
      </c>
      <c r="C23" s="5" t="s">
        <v>149</v>
      </c>
      <c r="D23" s="5" t="s">
        <v>103</v>
      </c>
      <c r="E23" s="5" t="s">
        <v>150</v>
      </c>
      <c r="F23" s="6" t="n">
        <v>18700</v>
      </c>
      <c r="G23" s="5" t="n">
        <v>8</v>
      </c>
      <c r="H23" s="12" t="s">
        <v>141</v>
      </c>
      <c r="I23" s="5"/>
      <c r="J23" s="5"/>
      <c r="K23" s="5" t="s">
        <v>23</v>
      </c>
      <c r="L23" s="5"/>
      <c r="M23" s="5" t="s">
        <v>24</v>
      </c>
      <c r="N23" s="5" t="s">
        <v>45</v>
      </c>
      <c r="O23" s="12" t="s">
        <v>46</v>
      </c>
    </row>
    <row r="24" customFormat="false" ht="15" hidden="false" customHeight="false" outlineLevel="0" collapsed="false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3" t="n">
        <v>38400</v>
      </c>
      <c r="G24" s="2" t="n">
        <v>98</v>
      </c>
      <c r="H24" s="8" t="s">
        <v>156</v>
      </c>
      <c r="I24" s="2" t="s">
        <v>157</v>
      </c>
      <c r="J24" s="2" t="s">
        <v>33</v>
      </c>
      <c r="K24" s="7" t="s">
        <v>34</v>
      </c>
      <c r="L24" s="2" t="s">
        <v>158</v>
      </c>
      <c r="M24" s="2" t="s">
        <v>36</v>
      </c>
      <c r="N24" s="2" t="s">
        <v>37</v>
      </c>
      <c r="O24" s="8" t="s">
        <v>38</v>
      </c>
    </row>
    <row r="25" customFormat="false" ht="15" hidden="false" customHeight="false" outlineLevel="0" collapsed="false">
      <c r="A25" s="5" t="s">
        <v>159</v>
      </c>
      <c r="B25" s="5" t="s">
        <v>160</v>
      </c>
      <c r="C25" s="5" t="s">
        <v>161</v>
      </c>
      <c r="D25" s="5" t="s">
        <v>162</v>
      </c>
      <c r="E25" s="5" t="s">
        <v>163</v>
      </c>
      <c r="F25" s="6" t="n">
        <v>195000</v>
      </c>
      <c r="G25" s="5" t="n">
        <v>119</v>
      </c>
      <c r="H25" s="8" t="s">
        <v>156</v>
      </c>
      <c r="I25" s="5" t="s">
        <v>42</v>
      </c>
      <c r="J25" s="5" t="s">
        <v>53</v>
      </c>
      <c r="K25" s="7" t="s">
        <v>34</v>
      </c>
      <c r="L25" s="5" t="s">
        <v>164</v>
      </c>
      <c r="M25" s="5" t="s">
        <v>55</v>
      </c>
      <c r="N25" s="5" t="s">
        <v>25</v>
      </c>
      <c r="O25" s="8" t="s">
        <v>38</v>
      </c>
    </row>
    <row r="26" customFormat="false" ht="15" hidden="false" customHeight="false" outlineLevel="0" collapsed="false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3" t="n">
        <v>11200</v>
      </c>
      <c r="G26" s="2" t="n">
        <v>93</v>
      </c>
      <c r="H26" s="8" t="s">
        <v>156</v>
      </c>
      <c r="I26" s="2" t="s">
        <v>85</v>
      </c>
      <c r="J26" s="2" t="s">
        <v>22</v>
      </c>
      <c r="K26" s="2" t="s">
        <v>23</v>
      </c>
      <c r="L26" s="2"/>
      <c r="M26" s="2" t="s">
        <v>63</v>
      </c>
      <c r="N26" s="2" t="s">
        <v>45</v>
      </c>
      <c r="O26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39.75" hidden="false" customHeight="true" outlineLevel="0" collapsed="false">
      <c r="A1" s="13" t="s">
        <v>170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14" t="s">
        <v>171</v>
      </c>
      <c r="B2" s="14"/>
      <c r="C2" s="14"/>
      <c r="D2" s="14"/>
      <c r="E2" s="14"/>
      <c r="F2" s="14"/>
      <c r="G2" s="14"/>
      <c r="H2" s="14"/>
    </row>
    <row r="3" customFormat="false" ht="9.75" hidden="false" customHeight="true" outlineLevel="0" collapsed="false"/>
    <row r="4" customFormat="false" ht="15" hidden="false" customHeight="false" outlineLevel="0" collapsed="false">
      <c r="A4" s="15" t="s">
        <v>172</v>
      </c>
      <c r="B4" s="15"/>
      <c r="C4" s="15"/>
      <c r="D4" s="15"/>
      <c r="E4" s="15"/>
      <c r="F4" s="15"/>
      <c r="G4" s="15"/>
      <c r="H4" s="15"/>
    </row>
    <row r="5" customFormat="false" ht="15" hidden="false" customHeight="false" outlineLevel="0" collapsed="false">
      <c r="A5" s="16" t="s">
        <v>7</v>
      </c>
      <c r="B5" s="16" t="s">
        <v>173</v>
      </c>
      <c r="C5" s="16" t="s">
        <v>174</v>
      </c>
      <c r="D5" s="16" t="s">
        <v>175</v>
      </c>
      <c r="E5" s="16" t="s">
        <v>176</v>
      </c>
      <c r="F5" s="16" t="s">
        <v>177</v>
      </c>
      <c r="G5" s="16" t="s">
        <v>178</v>
      </c>
      <c r="H5" s="16" t="s">
        <v>179</v>
      </c>
    </row>
    <row r="6" customFormat="false" ht="15" hidden="false" customHeight="false" outlineLevel="0" collapsed="false">
      <c r="A6" s="17" t="s">
        <v>141</v>
      </c>
      <c r="B6" s="18" t="n">
        <f aca="false">COUNTIF('📋 AR Data'!H:H,"Current")</f>
        <v>3</v>
      </c>
      <c r="C6" s="19" t="n">
        <f aca="false">SUMIF('📋 AR Data'!H:H,"Current",'📋 AR Data'!F:F)</f>
        <v>263000</v>
      </c>
      <c r="D6" s="20" t="n">
        <f aca="false">C6/C10</f>
        <v>1.07522485690924</v>
      </c>
      <c r="E6" s="18" t="n">
        <f aca="false">COUNTIFS('📋 AR Data'!H:H,"Current",'📋 AR Data'!K:K,"Yes")</f>
        <v>0</v>
      </c>
      <c r="F6" s="19" t="n">
        <f aca="false">SUMIFS('📋 AR Data'!F:F,'📋 AR Data'!H:H,"Current",'📋 AR Data'!K:K,"Yes")</f>
        <v>0</v>
      </c>
      <c r="G6" s="18" t="s">
        <v>180</v>
      </c>
      <c r="H6" s="21" t="s">
        <v>181</v>
      </c>
    </row>
    <row r="7" customFormat="false" ht="15" hidden="false" customHeight="false" outlineLevel="0" collapsed="false">
      <c r="A7" s="22" t="s">
        <v>182</v>
      </c>
      <c r="B7" s="23" t="n">
        <f aca="false">COUNTIF('📋 AR Data'!H:H,"1-30 days")</f>
        <v>10</v>
      </c>
      <c r="C7" s="24" t="n">
        <f aca="false">SUMIF('📋 AR Data'!H:H,"1-30 days",'📋 AR Data'!F:F)</f>
        <v>499900</v>
      </c>
      <c r="D7" s="25" t="n">
        <f aca="false">C7/C10</f>
        <v>2.0437448896157</v>
      </c>
      <c r="E7" s="23" t="n">
        <f aca="false">COUNTIFS('📋 AR Data'!H:H,"1-30 days",'📋 AR Data'!K:K,"Yes")</f>
        <v>1</v>
      </c>
      <c r="F7" s="24" t="n">
        <f aca="false">SUMIFS('📋 AR Data'!F:F,'📋 AR Data'!H:H,"1-30 days",'📋 AR Data'!K:K,"Yes")</f>
        <v>156000</v>
      </c>
      <c r="G7" s="23" t="s">
        <v>183</v>
      </c>
      <c r="H7" s="26" t="s">
        <v>184</v>
      </c>
    </row>
    <row r="8" customFormat="false" ht="15" hidden="false" customHeight="false" outlineLevel="0" collapsed="false">
      <c r="A8" s="27" t="s">
        <v>185</v>
      </c>
      <c r="B8" s="28" t="n">
        <f aca="false">COUNTIF('📋 AR Data'!H:H,"31-60 days")</f>
        <v>5</v>
      </c>
      <c r="C8" s="29" t="n">
        <f aca="false">SUMIF('📋 AR Data'!H:H,"31-60 days",'📋 AR Data'!F:F)</f>
        <v>120500</v>
      </c>
      <c r="D8" s="30" t="n">
        <f aca="false">C8/C10</f>
        <v>0.492641046606705</v>
      </c>
      <c r="E8" s="28" t="n">
        <f aca="false">COUNTIFS('📋 AR Data'!H:H,"31-60 days",'📋 AR Data'!K:K,"Yes")</f>
        <v>1</v>
      </c>
      <c r="F8" s="29" t="n">
        <f aca="false">SUMIFS('📋 AR Data'!F:F,'📋 AR Data'!H:H,"31-60 days",'📋 AR Data'!K:K,"Yes")</f>
        <v>28900</v>
      </c>
      <c r="G8" s="28" t="s">
        <v>186</v>
      </c>
      <c r="H8" s="31" t="s">
        <v>187</v>
      </c>
    </row>
    <row r="9" customFormat="false" ht="15" hidden="false" customHeight="false" outlineLevel="0" collapsed="false">
      <c r="A9" s="32" t="s">
        <v>188</v>
      </c>
      <c r="B9" s="33" t="n">
        <f aca="false">COUNTIF('📋 AR Data'!H:H,"61-90 days")</f>
        <v>4</v>
      </c>
      <c r="C9" s="34" t="n">
        <f aca="false">SUMIF('📋 AR Data'!H:H,"61-90 days",'📋 AR Data'!F:F)</f>
        <v>194200</v>
      </c>
      <c r="D9" s="35" t="n">
        <f aca="false">C9/C10</f>
        <v>0.793949304987735</v>
      </c>
      <c r="E9" s="33" t="n">
        <f aca="false">COUNTIFS('📋 AR Data'!H:H,"61-90 days",'📋 AR Data'!K:K,"Yes")</f>
        <v>2</v>
      </c>
      <c r="F9" s="34" t="n">
        <f aca="false">SUMIFS('📋 AR Data'!F:F,'📋 AR Data'!H:H,"61-90 days",'📋 AR Data'!K:K,"Yes")</f>
        <v>172800</v>
      </c>
      <c r="G9" s="33" t="s">
        <v>189</v>
      </c>
      <c r="H9" s="36" t="s">
        <v>190</v>
      </c>
    </row>
    <row r="10" customFormat="false" ht="15" hidden="false" customHeight="false" outlineLevel="0" collapsed="false">
      <c r="A10" s="37" t="s">
        <v>191</v>
      </c>
      <c r="B10" s="38" t="n">
        <f aca="false">COUNTIF('📋 AR Data'!H:H,"91+ days")</f>
        <v>3</v>
      </c>
      <c r="C10" s="39" t="n">
        <f aca="false">SUMIF('📋 AR Data'!H:H,"91+ days",'📋 AR Data'!F:F)</f>
        <v>244600</v>
      </c>
      <c r="D10" s="40" t="n">
        <f aca="false">C10/C10</f>
        <v>1</v>
      </c>
      <c r="E10" s="38" t="n">
        <f aca="false">COUNTIFS('📋 AR Data'!H:H,"91+ days",'📋 AR Data'!K:K,"Yes")</f>
        <v>2</v>
      </c>
      <c r="F10" s="39" t="n">
        <f aca="false">SUMIFS('📋 AR Data'!F:F,'📋 AR Data'!H:H,"91+ days",'📋 AR Data'!K:K,"Yes")</f>
        <v>233400</v>
      </c>
      <c r="G10" s="38" t="s">
        <v>192</v>
      </c>
      <c r="H10" s="41" t="s">
        <v>193</v>
      </c>
    </row>
    <row r="11" customFormat="false" ht="15" hidden="false" customHeight="false" outlineLevel="0" collapsed="false">
      <c r="A11" s="1" t="s">
        <v>194</v>
      </c>
      <c r="B11" s="1" t="n">
        <f aca="false">SUM(B6:B10)</f>
        <v>25</v>
      </c>
      <c r="C11" s="42" t="n">
        <f aca="false">SUM(C6:C10)</f>
        <v>1322200</v>
      </c>
      <c r="D11" s="1" t="s">
        <v>195</v>
      </c>
      <c r="E11" s="1" t="n">
        <f aca="false">SUM(E6:E10)</f>
        <v>6</v>
      </c>
      <c r="F11" s="42" t="n">
        <f aca="false">SUM(F6:F10)</f>
        <v>591100</v>
      </c>
      <c r="G11" s="1"/>
      <c r="H11" s="1"/>
    </row>
    <row r="12" customFormat="false" ht="12" hidden="false" customHeight="true" outlineLevel="0" collapsed="false"/>
    <row r="13" customFormat="false" ht="15" hidden="false" customHeight="false" outlineLevel="0" collapsed="false">
      <c r="A13" s="15" t="s">
        <v>196</v>
      </c>
      <c r="B13" s="15"/>
      <c r="C13" s="15"/>
      <c r="D13" s="15"/>
      <c r="E13" s="15"/>
      <c r="F13" s="15"/>
      <c r="G13" s="15"/>
      <c r="H13" s="15"/>
    </row>
    <row r="14" customFormat="false" ht="30" hidden="false" customHeight="true" outlineLevel="0" collapsed="false">
      <c r="A14" s="43" t="s">
        <v>197</v>
      </c>
      <c r="B14" s="44" t="s">
        <v>198</v>
      </c>
      <c r="C14" s="45" t="s">
        <v>199</v>
      </c>
      <c r="D14" s="45" t="s">
        <v>200</v>
      </c>
      <c r="E14" s="45" t="s">
        <v>201</v>
      </c>
      <c r="F14" s="46" t="s">
        <v>202</v>
      </c>
      <c r="G14" s="46" t="s">
        <v>203</v>
      </c>
      <c r="H14" s="47" t="s">
        <v>204</v>
      </c>
    </row>
    <row r="15" customFormat="false" ht="33.75" hidden="false" customHeight="true" outlineLevel="0" collapsed="false">
      <c r="A15" s="48" t="n">
        <f aca="false">C11</f>
        <v>1322200</v>
      </c>
      <c r="B15" s="49" t="n">
        <f aca="false">B11</f>
        <v>25</v>
      </c>
      <c r="C15" s="50" t="n">
        <f aca="false">F11</f>
        <v>591100</v>
      </c>
      <c r="D15" s="51" t="n">
        <f aca="false">F11/C11</f>
        <v>0.447057933746786</v>
      </c>
      <c r="E15" s="52" t="n">
        <f aca="false">COUNTIF('📋 AR Data'!O:O,"Critical")</f>
        <v>6</v>
      </c>
      <c r="F15" s="53" t="n">
        <f aca="false">AVERAGE('📋 AR Data'!G2:G26)</f>
        <v>46.12</v>
      </c>
      <c r="G15" s="54" t="n">
        <f aca="false">(C9+C10)/C11</f>
        <v>0.331871123884435</v>
      </c>
      <c r="H15" s="55" t="e">
        <f aca="false">G14/C11*30</f>
        <v>#VALUE!</v>
      </c>
    </row>
    <row r="16" customFormat="false" ht="12" hidden="false" customHeight="true" outlineLevel="0" collapsed="false"/>
    <row r="17" customFormat="false" ht="15" hidden="false" customHeight="false" outlineLevel="0" collapsed="false">
      <c r="A17" s="15" t="s">
        <v>205</v>
      </c>
      <c r="B17" s="15"/>
      <c r="C17" s="15"/>
      <c r="D17" s="15"/>
      <c r="F17" s="15" t="s">
        <v>206</v>
      </c>
      <c r="G17" s="15"/>
      <c r="H17" s="15"/>
    </row>
    <row r="18" customFormat="false" ht="15" hidden="false" customHeight="false" outlineLevel="0" collapsed="false">
      <c r="A18" s="16" t="s">
        <v>13</v>
      </c>
      <c r="B18" s="16" t="s">
        <v>173</v>
      </c>
      <c r="C18" s="16" t="s">
        <v>207</v>
      </c>
      <c r="D18" s="16" t="s">
        <v>175</v>
      </c>
      <c r="F18" s="16" t="s">
        <v>12</v>
      </c>
      <c r="G18" s="16" t="s">
        <v>173</v>
      </c>
      <c r="H18" s="16" t="s">
        <v>207</v>
      </c>
    </row>
    <row r="19" customFormat="false" ht="15" hidden="false" customHeight="false" outlineLevel="0" collapsed="false">
      <c r="A19" s="23" t="s">
        <v>25</v>
      </c>
      <c r="B19" s="23" t="n">
        <f aca="false">COUNTIF('📋 AR Data'!N:N,"North America")</f>
        <v>11</v>
      </c>
      <c r="C19" s="24" t="n">
        <f aca="false">SUMIF('📋 AR Data'!N:N,"North America",'📋 AR Data'!F:F)</f>
        <v>1073500</v>
      </c>
      <c r="D19" s="25" t="n">
        <f aca="false">C19/C11</f>
        <v>0.811904401754651</v>
      </c>
      <c r="F19" s="23" t="s">
        <v>24</v>
      </c>
      <c r="G19" s="23" t="n">
        <f aca="false">COUNTIF('📋 AR Data'!M:M,"Sarah Chen")</f>
        <v>7</v>
      </c>
      <c r="H19" s="24" t="n">
        <f aca="false">SUMIF('📋 AR Data'!M:M,"Sarah Chen",'📋 AR Data'!F:F)</f>
        <v>145700</v>
      </c>
    </row>
    <row r="20" customFormat="false" ht="15" hidden="false" customHeight="false" outlineLevel="0" collapsed="false">
      <c r="A20" s="18" t="s">
        <v>37</v>
      </c>
      <c r="B20" s="18" t="n">
        <f aca="false">COUNTIF('📋 AR Data'!N:N,"LATAM")</f>
        <v>7</v>
      </c>
      <c r="C20" s="19" t="n">
        <f aca="false">SUMIF('📋 AR Data'!N:N,"LATAM",'📋 AR Data'!F:F)</f>
        <v>118500</v>
      </c>
      <c r="D20" s="20" t="n">
        <f aca="false">C20/C11</f>
        <v>0.08962335501437</v>
      </c>
      <c r="F20" s="18" t="s">
        <v>36</v>
      </c>
      <c r="G20" s="18" t="n">
        <f aca="false">COUNTIF('📋 AR Data'!M:M,"Mark Torres")</f>
        <v>6</v>
      </c>
      <c r="H20" s="19" t="n">
        <f aca="false">SUMIF('📋 AR Data'!M:M,"Mark Torres",'📋 AR Data'!F:F)</f>
        <v>138800</v>
      </c>
    </row>
    <row r="21" customFormat="false" ht="15" hidden="false" customHeight="false" outlineLevel="0" collapsed="false">
      <c r="A21" s="28" t="s">
        <v>45</v>
      </c>
      <c r="B21" s="28" t="n">
        <f aca="false">COUNTIF('📋 AR Data'!N:N,"EMEA")</f>
        <v>7</v>
      </c>
      <c r="C21" s="29" t="n">
        <f aca="false">SUMIF('📋 AR Data'!N:N,"EMEA",'📋 AR Data'!F:F)</f>
        <v>130200</v>
      </c>
      <c r="D21" s="30" t="n">
        <f aca="false">C21/C11</f>
        <v>0.0984722432309787</v>
      </c>
      <c r="F21" s="28" t="s">
        <v>55</v>
      </c>
      <c r="G21" s="28" t="n">
        <f aca="false">COUNTIF('📋 AR Data'!M:M,"James Wu")</f>
        <v>7</v>
      </c>
      <c r="H21" s="29" t="n">
        <f aca="false">SUMIF('📋 AR Data'!M:M,"James Wu",'📋 AR Data'!F:F)</f>
        <v>946100</v>
      </c>
    </row>
    <row r="22" customFormat="false" ht="15" hidden="false" customHeight="false" outlineLevel="0" collapsed="false">
      <c r="A22" s="56" t="s">
        <v>194</v>
      </c>
      <c r="B22" s="56" t="n">
        <f aca="false">SUM(B19:B21)</f>
        <v>25</v>
      </c>
      <c r="C22" s="57" t="n">
        <f aca="false">SUM(C19:C21)</f>
        <v>1322200</v>
      </c>
      <c r="D22" s="56" t="s">
        <v>195</v>
      </c>
      <c r="F22" s="33" t="s">
        <v>63</v>
      </c>
      <c r="G22" s="33" t="n">
        <f aca="false">COUNTIF('📋 AR Data'!M:M,"Maria Lopez")</f>
        <v>5</v>
      </c>
      <c r="H22" s="34" t="n">
        <f aca="false">SUMIF('📋 AR Data'!M:M,"Maria Lopez",'📋 AR Data'!F:F)</f>
        <v>91600</v>
      </c>
    </row>
  </sheetData>
  <mergeCells count="6">
    <mergeCell ref="A1:H1"/>
    <mergeCell ref="A2:H2"/>
    <mergeCell ref="A4:H4"/>
    <mergeCell ref="A13:H13"/>
    <mergeCell ref="A17:D17"/>
    <mergeCell ref="F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16"/>
  </cols>
  <sheetData>
    <row r="1" customFormat="false" ht="36" hidden="false" customHeight="true" outlineLevel="0" collapsed="false">
      <c r="A1" s="58" t="s">
        <v>208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19.5" hidden="false" customHeight="true" outlineLevel="0" collapsed="false">
      <c r="A2" s="59" t="s">
        <v>209</v>
      </c>
      <c r="B2" s="59"/>
      <c r="C2" s="59"/>
      <c r="D2" s="59"/>
      <c r="E2" s="59"/>
      <c r="F2" s="59"/>
      <c r="G2" s="59"/>
      <c r="H2" s="59"/>
      <c r="I2" s="59"/>
      <c r="J2" s="59"/>
    </row>
    <row r="3" customFormat="false" ht="15" hidden="false" customHeight="false" outlineLevel="0" collapsed="false">
      <c r="A3" s="60" t="s">
        <v>210</v>
      </c>
      <c r="B3" s="60" t="s">
        <v>1</v>
      </c>
      <c r="C3" s="60" t="s">
        <v>2</v>
      </c>
      <c r="D3" s="60" t="s">
        <v>5</v>
      </c>
      <c r="E3" s="60" t="s">
        <v>211</v>
      </c>
      <c r="F3" s="60" t="s">
        <v>7</v>
      </c>
      <c r="G3" s="60" t="s">
        <v>212</v>
      </c>
      <c r="H3" s="60" t="s">
        <v>213</v>
      </c>
      <c r="I3" s="60" t="s">
        <v>214</v>
      </c>
      <c r="J3" s="60" t="s">
        <v>215</v>
      </c>
    </row>
    <row r="4" customFormat="false" ht="51.75" hidden="false" customHeight="true" outlineLevel="0" collapsed="false">
      <c r="A4" s="60" t="n">
        <v>1</v>
      </c>
      <c r="B4" s="61" t="s">
        <v>160</v>
      </c>
      <c r="C4" s="62" t="s">
        <v>161</v>
      </c>
      <c r="D4" s="63" t="n">
        <v>195000</v>
      </c>
      <c r="E4" s="62" t="n">
        <v>119</v>
      </c>
      <c r="F4" s="62" t="s">
        <v>156</v>
      </c>
      <c r="G4" s="62" t="s">
        <v>34</v>
      </c>
      <c r="H4" s="64" t="s">
        <v>55</v>
      </c>
      <c r="I4" s="65" t="s">
        <v>216</v>
      </c>
      <c r="J4" s="62" t="s">
        <v>217</v>
      </c>
    </row>
    <row r="5" customFormat="false" ht="51.75" hidden="false" customHeight="true" outlineLevel="0" collapsed="false">
      <c r="A5" s="60" t="n">
        <v>2</v>
      </c>
      <c r="B5" s="61" t="s">
        <v>105</v>
      </c>
      <c r="C5" s="62" t="s">
        <v>106</v>
      </c>
      <c r="D5" s="63" t="n">
        <v>156000</v>
      </c>
      <c r="E5" s="62" t="n">
        <v>31</v>
      </c>
      <c r="F5" s="62" t="s">
        <v>92</v>
      </c>
      <c r="G5" s="62" t="s">
        <v>34</v>
      </c>
      <c r="H5" s="64" t="s">
        <v>55</v>
      </c>
      <c r="I5" s="65" t="s">
        <v>218</v>
      </c>
      <c r="J5" s="62" t="s">
        <v>219</v>
      </c>
    </row>
    <row r="6" customFormat="false" ht="51.75" hidden="false" customHeight="true" outlineLevel="0" collapsed="false">
      <c r="A6" s="60" t="n">
        <v>3</v>
      </c>
      <c r="B6" s="66" t="s">
        <v>48</v>
      </c>
      <c r="C6" s="67" t="s">
        <v>49</v>
      </c>
      <c r="D6" s="68" t="n">
        <v>125000</v>
      </c>
      <c r="E6" s="67" t="n">
        <v>61</v>
      </c>
      <c r="F6" s="67" t="s">
        <v>20</v>
      </c>
      <c r="G6" s="67" t="s">
        <v>34</v>
      </c>
      <c r="H6" s="69" t="s">
        <v>55</v>
      </c>
      <c r="I6" s="70" t="s">
        <v>220</v>
      </c>
      <c r="J6" s="67" t="s">
        <v>221</v>
      </c>
    </row>
    <row r="7" customFormat="false" ht="51.75" hidden="false" customHeight="true" outlineLevel="0" collapsed="false">
      <c r="A7" s="71" t="n">
        <v>4</v>
      </c>
      <c r="B7" s="72" t="s">
        <v>143</v>
      </c>
      <c r="C7" s="73" t="s">
        <v>144</v>
      </c>
      <c r="D7" s="74" t="n">
        <v>234500</v>
      </c>
      <c r="E7" s="73" t="n">
        <v>10</v>
      </c>
      <c r="F7" s="73" t="s">
        <v>141</v>
      </c>
      <c r="G7" s="73" t="s">
        <v>23</v>
      </c>
      <c r="H7" s="75" t="s">
        <v>55</v>
      </c>
      <c r="I7" s="76" t="s">
        <v>222</v>
      </c>
      <c r="J7" s="73" t="s">
        <v>223</v>
      </c>
    </row>
    <row r="8" customFormat="false" ht="51.75" hidden="false" customHeight="true" outlineLevel="0" collapsed="false">
      <c r="A8" s="71" t="n">
        <v>5</v>
      </c>
      <c r="B8" s="61" t="s">
        <v>152</v>
      </c>
      <c r="C8" s="62" t="s">
        <v>153</v>
      </c>
      <c r="D8" s="63" t="n">
        <v>38400</v>
      </c>
      <c r="E8" s="62" t="n">
        <v>98</v>
      </c>
      <c r="F8" s="62" t="s">
        <v>156</v>
      </c>
      <c r="G8" s="62" t="s">
        <v>34</v>
      </c>
      <c r="H8" s="64" t="s">
        <v>36</v>
      </c>
      <c r="I8" s="65" t="s">
        <v>224</v>
      </c>
      <c r="J8" s="62" t="s">
        <v>217</v>
      </c>
    </row>
    <row r="9" customFormat="false" ht="51.75" hidden="false" customHeight="true" outlineLevel="0" collapsed="false">
      <c r="A9" s="71" t="n">
        <v>6</v>
      </c>
      <c r="B9" s="61" t="s">
        <v>28</v>
      </c>
      <c r="C9" s="62" t="s">
        <v>29</v>
      </c>
      <c r="D9" s="63" t="n">
        <v>47800</v>
      </c>
      <c r="E9" s="62" t="n">
        <v>83</v>
      </c>
      <c r="F9" s="62" t="s">
        <v>20</v>
      </c>
      <c r="G9" s="62" t="s">
        <v>34</v>
      </c>
      <c r="H9" s="64" t="s">
        <v>36</v>
      </c>
      <c r="I9" s="65" t="s">
        <v>225</v>
      </c>
      <c r="J9" s="62" t="s">
        <v>219</v>
      </c>
    </row>
    <row r="10" customFormat="false" ht="51.75" hidden="false" customHeight="true" outlineLevel="0" collapsed="false">
      <c r="A10" s="71" t="n">
        <v>7</v>
      </c>
      <c r="B10" s="66" t="s">
        <v>166</v>
      </c>
      <c r="C10" s="67" t="s">
        <v>167</v>
      </c>
      <c r="D10" s="68" t="n">
        <v>11200</v>
      </c>
      <c r="E10" s="67" t="n">
        <v>93</v>
      </c>
      <c r="F10" s="67" t="s">
        <v>156</v>
      </c>
      <c r="G10" s="67" t="s">
        <v>23</v>
      </c>
      <c r="H10" s="69" t="s">
        <v>63</v>
      </c>
      <c r="I10" s="70" t="s">
        <v>226</v>
      </c>
      <c r="J10" s="67" t="s">
        <v>227</v>
      </c>
    </row>
    <row r="11" customFormat="false" ht="51.75" hidden="false" customHeight="true" outlineLevel="0" collapsed="false">
      <c r="A11" s="77" t="n">
        <v>8</v>
      </c>
      <c r="B11" s="66" t="s">
        <v>16</v>
      </c>
      <c r="C11" s="67" t="s">
        <v>17</v>
      </c>
      <c r="D11" s="68" t="n">
        <v>12500</v>
      </c>
      <c r="E11" s="67" t="n">
        <v>88</v>
      </c>
      <c r="F11" s="67" t="s">
        <v>20</v>
      </c>
      <c r="G11" s="67" t="s">
        <v>23</v>
      </c>
      <c r="H11" s="69" t="s">
        <v>24</v>
      </c>
      <c r="I11" s="70" t="s">
        <v>228</v>
      </c>
      <c r="J11" s="67" t="s">
        <v>229</v>
      </c>
    </row>
    <row r="12" customFormat="false" ht="51.75" hidden="false" customHeight="true" outlineLevel="0" collapsed="false">
      <c r="A12" s="77" t="n">
        <v>9</v>
      </c>
      <c r="B12" s="78" t="s">
        <v>66</v>
      </c>
      <c r="C12" s="79" t="s">
        <v>67</v>
      </c>
      <c r="D12" s="80" t="n">
        <v>67400</v>
      </c>
      <c r="E12" s="79" t="n">
        <v>51</v>
      </c>
      <c r="F12" s="79" t="s">
        <v>61</v>
      </c>
      <c r="G12" s="79" t="s">
        <v>23</v>
      </c>
      <c r="H12" s="81" t="s">
        <v>55</v>
      </c>
      <c r="I12" s="82" t="s">
        <v>230</v>
      </c>
      <c r="J12" s="79" t="s">
        <v>231</v>
      </c>
    </row>
    <row r="13" customFormat="false" ht="51.75" hidden="false" customHeight="true" outlineLevel="0" collapsed="false">
      <c r="A13" s="77" t="n">
        <v>10</v>
      </c>
      <c r="B13" s="66" t="s">
        <v>76</v>
      </c>
      <c r="C13" s="67" t="s">
        <v>77</v>
      </c>
      <c r="D13" s="68" t="n">
        <v>28900</v>
      </c>
      <c r="E13" s="67" t="n">
        <v>46</v>
      </c>
      <c r="F13" s="67" t="s">
        <v>61</v>
      </c>
      <c r="G13" s="67" t="s">
        <v>34</v>
      </c>
      <c r="H13" s="69" t="s">
        <v>36</v>
      </c>
      <c r="I13" s="70" t="s">
        <v>232</v>
      </c>
      <c r="J13" s="67" t="s">
        <v>227</v>
      </c>
    </row>
    <row r="14" customFormat="false" ht="51.75" hidden="false" customHeight="true" outlineLevel="0" collapsed="false">
      <c r="A14" s="16" t="n">
        <v>11</v>
      </c>
      <c r="B14" s="78" t="s">
        <v>89</v>
      </c>
      <c r="C14" s="79" t="s">
        <v>90</v>
      </c>
      <c r="D14" s="80" t="n">
        <v>89300</v>
      </c>
      <c r="E14" s="79" t="n">
        <v>38</v>
      </c>
      <c r="F14" s="79" t="s">
        <v>92</v>
      </c>
      <c r="G14" s="79" t="s">
        <v>23</v>
      </c>
      <c r="H14" s="81" t="s">
        <v>55</v>
      </c>
      <c r="I14" s="82" t="s">
        <v>233</v>
      </c>
      <c r="J14" s="79" t="s">
        <v>234</v>
      </c>
    </row>
    <row r="15" customFormat="false" ht="51.75" hidden="false" customHeight="true" outlineLevel="0" collapsed="false">
      <c r="A15" s="16" t="n">
        <v>12</v>
      </c>
      <c r="B15" s="72" t="s">
        <v>133</v>
      </c>
      <c r="C15" s="73" t="s">
        <v>134</v>
      </c>
      <c r="D15" s="74" t="n">
        <v>52300</v>
      </c>
      <c r="E15" s="73" t="n">
        <v>15</v>
      </c>
      <c r="F15" s="73" t="s">
        <v>92</v>
      </c>
      <c r="G15" s="73" t="s">
        <v>23</v>
      </c>
      <c r="H15" s="75" t="s">
        <v>63</v>
      </c>
      <c r="I15" s="76" t="s">
        <v>235</v>
      </c>
      <c r="J15" s="73" t="s">
        <v>223</v>
      </c>
    </row>
    <row r="16" customFormat="false" ht="51.75" hidden="false" customHeight="true" outlineLevel="0" collapsed="false">
      <c r="A16" s="16" t="n">
        <v>13</v>
      </c>
      <c r="B16" s="72" t="s">
        <v>124</v>
      </c>
      <c r="C16" s="73" t="s">
        <v>125</v>
      </c>
      <c r="D16" s="74" t="n">
        <v>78900</v>
      </c>
      <c r="E16" s="73" t="n">
        <v>21</v>
      </c>
      <c r="F16" s="73" t="s">
        <v>92</v>
      </c>
      <c r="G16" s="73" t="s">
        <v>23</v>
      </c>
      <c r="H16" s="75" t="s">
        <v>55</v>
      </c>
      <c r="I16" s="76" t="s">
        <v>236</v>
      </c>
      <c r="J16" s="73" t="s">
        <v>223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6" hidden="false" customHeight="true" outlineLevel="0" collapsed="false">
      <c r="A1" s="83" t="s">
        <v>237</v>
      </c>
      <c r="B1" s="83"/>
      <c r="C1" s="83"/>
      <c r="D1" s="83"/>
      <c r="E1" s="83"/>
      <c r="F1" s="83"/>
      <c r="G1" s="83"/>
    </row>
    <row r="2" customFormat="false" ht="19.5" hidden="false" customHeight="true" outlineLevel="0" collapsed="false">
      <c r="A2" s="84" t="s">
        <v>238</v>
      </c>
      <c r="B2" s="84"/>
      <c r="C2" s="84"/>
      <c r="D2" s="84"/>
      <c r="E2" s="84"/>
      <c r="F2" s="84"/>
      <c r="G2" s="84"/>
    </row>
    <row r="4" customFormat="false" ht="15" hidden="false" customHeight="false" outlineLevel="0" collapsed="false">
      <c r="A4" s="85" t="s">
        <v>239</v>
      </c>
      <c r="B4" s="85"/>
      <c r="C4" s="85"/>
      <c r="D4" s="85"/>
      <c r="E4" s="85"/>
      <c r="F4" s="85"/>
      <c r="G4" s="85"/>
    </row>
    <row r="5" customFormat="false" ht="15" hidden="false" customHeight="false" outlineLevel="0" collapsed="false">
      <c r="A5" s="86" t="s">
        <v>240</v>
      </c>
      <c r="B5" s="86" t="s">
        <v>241</v>
      </c>
      <c r="C5" s="86" t="s">
        <v>242</v>
      </c>
      <c r="D5" s="86"/>
      <c r="E5" s="86"/>
      <c r="F5" s="86"/>
      <c r="G5" s="86"/>
    </row>
    <row r="6" customFormat="false" ht="15" hidden="false" customHeight="false" outlineLevel="0" collapsed="false">
      <c r="A6" s="87" t="s">
        <v>141</v>
      </c>
      <c r="B6" s="88" t="n">
        <v>0.95</v>
      </c>
      <c r="C6" s="89" t="s">
        <v>243</v>
      </c>
      <c r="D6" s="89"/>
      <c r="E6" s="89"/>
      <c r="F6" s="89"/>
      <c r="G6" s="89"/>
    </row>
    <row r="7" customFormat="false" ht="15" hidden="false" customHeight="false" outlineLevel="0" collapsed="false">
      <c r="A7" s="87" t="s">
        <v>182</v>
      </c>
      <c r="B7" s="88" t="n">
        <v>0.85</v>
      </c>
      <c r="C7" s="89" t="s">
        <v>244</v>
      </c>
      <c r="D7" s="89"/>
      <c r="E7" s="89"/>
      <c r="F7" s="89"/>
      <c r="G7" s="89"/>
    </row>
    <row r="8" customFormat="false" ht="15" hidden="false" customHeight="false" outlineLevel="0" collapsed="false">
      <c r="A8" s="87" t="s">
        <v>185</v>
      </c>
      <c r="B8" s="88" t="n">
        <v>0.65</v>
      </c>
      <c r="C8" s="89" t="s">
        <v>245</v>
      </c>
      <c r="D8" s="89"/>
      <c r="E8" s="89"/>
      <c r="F8" s="89"/>
      <c r="G8" s="89"/>
    </row>
    <row r="9" customFormat="false" ht="15" hidden="false" customHeight="false" outlineLevel="0" collapsed="false">
      <c r="A9" s="87" t="s">
        <v>188</v>
      </c>
      <c r="B9" s="88" t="n">
        <v>0.4</v>
      </c>
      <c r="C9" s="89" t="s">
        <v>246</v>
      </c>
      <c r="D9" s="89"/>
      <c r="E9" s="89"/>
      <c r="F9" s="89"/>
      <c r="G9" s="89"/>
    </row>
    <row r="10" customFormat="false" ht="15" hidden="false" customHeight="false" outlineLevel="0" collapsed="false">
      <c r="A10" s="87" t="s">
        <v>191</v>
      </c>
      <c r="B10" s="88" t="n">
        <v>0.2</v>
      </c>
      <c r="C10" s="89" t="s">
        <v>247</v>
      </c>
      <c r="D10" s="89"/>
      <c r="E10" s="89"/>
      <c r="F10" s="89"/>
      <c r="G10" s="89"/>
    </row>
    <row r="12" customFormat="false" ht="12" hidden="false" customHeight="true" outlineLevel="0" collapsed="false"/>
    <row r="13" customFormat="false" ht="15" hidden="false" customHeight="false" outlineLevel="0" collapsed="false">
      <c r="A13" s="15" t="s">
        <v>248</v>
      </c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90" t="s">
        <v>7</v>
      </c>
      <c r="B14" s="90" t="s">
        <v>197</v>
      </c>
      <c r="C14" s="90" t="s">
        <v>249</v>
      </c>
      <c r="D14" s="90" t="s">
        <v>250</v>
      </c>
      <c r="E14" s="90" t="s">
        <v>251</v>
      </c>
      <c r="F14" s="90" t="s">
        <v>252</v>
      </c>
      <c r="G14" s="90" t="s">
        <v>253</v>
      </c>
    </row>
    <row r="15" customFormat="false" ht="15" hidden="false" customHeight="false" outlineLevel="0" collapsed="false">
      <c r="A15" s="17" t="s">
        <v>141</v>
      </c>
      <c r="B15" s="91" t="n">
        <f aca="false">SUMIF('📋 AR Data'!H:H,"Current",'📋 AR Data'!F:F)</f>
        <v>263000</v>
      </c>
      <c r="C15" s="92" t="n">
        <f aca="false">B6</f>
        <v>0.95</v>
      </c>
      <c r="D15" s="93" t="n">
        <f aca="false">B15*C15</f>
        <v>249850</v>
      </c>
      <c r="E15" s="94" t="n">
        <f aca="false">B15-D15</f>
        <v>13150</v>
      </c>
      <c r="F15" s="91" t="n">
        <f aca="false">SUMIFS('📋 AR Data'!F:F,'📋 AR Data'!H:H,"Current",'📋 AR Data'!K:K,"Yes")</f>
        <v>0</v>
      </c>
      <c r="G15" s="93" t="n">
        <f aca="false">D15-F15</f>
        <v>249850</v>
      </c>
    </row>
    <row r="16" customFormat="false" ht="15" hidden="false" customHeight="false" outlineLevel="0" collapsed="false">
      <c r="A16" s="22" t="s">
        <v>182</v>
      </c>
      <c r="B16" s="95" t="n">
        <f aca="false">SUMIF('📋 AR Data'!H:H,"1-30 days",'📋 AR Data'!F:F)</f>
        <v>499900</v>
      </c>
      <c r="C16" s="96" t="n">
        <f aca="false">B7</f>
        <v>0.85</v>
      </c>
      <c r="D16" s="97" t="n">
        <f aca="false">B16*C16</f>
        <v>424915</v>
      </c>
      <c r="E16" s="98" t="n">
        <f aca="false">B16-D16</f>
        <v>74985</v>
      </c>
      <c r="F16" s="95" t="n">
        <f aca="false">SUMIFS('📋 AR Data'!F:F,'📋 AR Data'!H:H,"1-30 days",'📋 AR Data'!K:K,"Yes")</f>
        <v>156000</v>
      </c>
      <c r="G16" s="97" t="n">
        <f aca="false">D16-F16</f>
        <v>268915</v>
      </c>
    </row>
    <row r="17" customFormat="false" ht="15" hidden="false" customHeight="false" outlineLevel="0" collapsed="false">
      <c r="A17" s="27" t="s">
        <v>185</v>
      </c>
      <c r="B17" s="99" t="n">
        <f aca="false">SUMIF('📋 AR Data'!H:H,"31-60 days",'📋 AR Data'!F:F)</f>
        <v>120500</v>
      </c>
      <c r="C17" s="100" t="n">
        <f aca="false">B8</f>
        <v>0.65</v>
      </c>
      <c r="D17" s="101" t="n">
        <f aca="false">B17*C17</f>
        <v>78325</v>
      </c>
      <c r="E17" s="102" t="n">
        <f aca="false">B17-D17</f>
        <v>42175</v>
      </c>
      <c r="F17" s="99" t="n">
        <f aca="false">SUMIFS('📋 AR Data'!F:F,'📋 AR Data'!H:H,"31-60 Days",'📋 AR Data'!K:K,"Yes")</f>
        <v>28900</v>
      </c>
      <c r="G17" s="103" t="n">
        <f aca="false">D17-F17</f>
        <v>49425</v>
      </c>
    </row>
    <row r="18" customFormat="false" ht="15" hidden="false" customHeight="false" outlineLevel="0" collapsed="false">
      <c r="A18" s="32" t="s">
        <v>188</v>
      </c>
      <c r="B18" s="104" t="n">
        <f aca="false">SUMIF('📋 AR Data'!H:H,"61-90 days",'📋 AR Data'!F:F)</f>
        <v>194200</v>
      </c>
      <c r="C18" s="105" t="n">
        <f aca="false">B9</f>
        <v>0.4</v>
      </c>
      <c r="D18" s="106" t="n">
        <f aca="false">B18*C18</f>
        <v>77680</v>
      </c>
      <c r="E18" s="107" t="n">
        <f aca="false">B18-D18</f>
        <v>116520</v>
      </c>
      <c r="F18" s="104" t="n">
        <f aca="false">SUMIFS('📋 AR Data'!F:F,'📋 AR Data'!H:H,"61-90 Days",'📋 AR Data'!K:K,"Yes")</f>
        <v>172800</v>
      </c>
      <c r="G18" s="108" t="n">
        <f aca="false">D18-F18</f>
        <v>-95120</v>
      </c>
    </row>
    <row r="19" customFormat="false" ht="15" hidden="false" customHeight="false" outlineLevel="0" collapsed="false">
      <c r="A19" s="37" t="s">
        <v>191</v>
      </c>
      <c r="B19" s="109" t="n">
        <f aca="false">SUMIF('📋 AR Data'!H:H,"91+ days",'📋 AR Data'!F:F)</f>
        <v>244600</v>
      </c>
      <c r="C19" s="110" t="n">
        <f aca="false">B10</f>
        <v>0.2</v>
      </c>
      <c r="D19" s="111" t="n">
        <f aca="false">B19*C19</f>
        <v>48920</v>
      </c>
      <c r="E19" s="112" t="n">
        <f aca="false">B19-D19</f>
        <v>195680</v>
      </c>
      <c r="F19" s="109" t="n">
        <f aca="false">SUMIFS('📋 AR Data'!F:F,'📋 AR Data'!H:H,"91+ Days",'📋 AR Data'!K:K,"Yes")</f>
        <v>233400</v>
      </c>
      <c r="G19" s="112" t="n">
        <f aca="false">D19-F19</f>
        <v>-184480</v>
      </c>
    </row>
    <row r="20" customFormat="false" ht="15" hidden="false" customHeight="false" outlineLevel="0" collapsed="false">
      <c r="A20" s="90" t="s">
        <v>194</v>
      </c>
      <c r="B20" s="113" t="n">
        <f aca="false">SUM(B15:B19)</f>
        <v>1322200</v>
      </c>
      <c r="C20" s="114"/>
      <c r="D20" s="113" t="n">
        <f aca="false">SUM(D15:D19)</f>
        <v>879690</v>
      </c>
      <c r="E20" s="113" t="n">
        <f aca="false">SUM(E15:E19)</f>
        <v>442510</v>
      </c>
      <c r="F20" s="113" t="n">
        <f aca="false">SUM(F15:F19)</f>
        <v>591100</v>
      </c>
      <c r="G20" s="113" t="n">
        <f aca="false">SUM(G15:G19)</f>
        <v>288590</v>
      </c>
    </row>
    <row r="21" customFormat="false" ht="12" hidden="false" customHeight="true" outlineLevel="0" collapsed="false"/>
    <row r="22" customFormat="false" ht="36" hidden="false" customHeight="true" outlineLevel="0" collapsed="false">
      <c r="A22" s="115" t="s">
        <v>254</v>
      </c>
      <c r="B22" s="115"/>
      <c r="C22" s="115"/>
      <c r="D22" s="115"/>
      <c r="E22" s="115"/>
      <c r="F22" s="115"/>
      <c r="G22" s="115"/>
    </row>
  </sheetData>
  <mergeCells count="10">
    <mergeCell ref="A1:G1"/>
    <mergeCell ref="A2:G2"/>
    <mergeCell ref="A4:G4"/>
    <mergeCell ref="C6:G6"/>
    <mergeCell ref="C7:G7"/>
    <mergeCell ref="C8:G8"/>
    <mergeCell ref="C9:G9"/>
    <mergeCell ref="C10:G10"/>
    <mergeCell ref="A13:G13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20"/>
  </cols>
  <sheetData>
    <row r="1" customFormat="false" ht="42" hidden="false" customHeight="true" outlineLevel="0" collapsed="false">
      <c r="A1" s="13" t="s">
        <v>255</v>
      </c>
      <c r="B1" s="13"/>
      <c r="C1" s="13"/>
      <c r="D1" s="13"/>
      <c r="E1" s="13"/>
      <c r="F1" s="13"/>
    </row>
    <row r="2" customFormat="false" ht="19.5" hidden="false" customHeight="true" outlineLevel="0" collapsed="false">
      <c r="A2" s="59" t="s">
        <v>256</v>
      </c>
      <c r="B2" s="59"/>
      <c r="C2" s="59"/>
      <c r="D2" s="59"/>
      <c r="E2" s="59"/>
      <c r="F2" s="59"/>
    </row>
    <row r="4" customFormat="false" ht="27.75" hidden="false" customHeight="true" outlineLevel="0" collapsed="false">
      <c r="A4" s="116" t="s">
        <v>257</v>
      </c>
      <c r="B4" s="116"/>
      <c r="C4" s="116"/>
      <c r="D4" s="116"/>
      <c r="E4" s="116"/>
      <c r="F4" s="116"/>
    </row>
    <row r="5" customFormat="false" ht="19.5" hidden="false" customHeight="true" outlineLevel="0" collapsed="false">
      <c r="A5" s="117" t="s">
        <v>258</v>
      </c>
      <c r="B5" s="117"/>
      <c r="C5" s="118" t="n">
        <f aca="false">'📊 Aging Summary'!C15</f>
        <v>591100</v>
      </c>
      <c r="D5" s="119" t="s">
        <v>259</v>
      </c>
      <c r="E5" s="119"/>
      <c r="F5" s="119"/>
    </row>
    <row r="6" customFormat="false" ht="19.5" hidden="false" customHeight="true" outlineLevel="0" collapsed="false">
      <c r="A6" s="117" t="s">
        <v>260</v>
      </c>
      <c r="B6" s="117"/>
      <c r="C6" s="120" t="n">
        <f aca="false">'📊 Aging Summary'!B15</f>
        <v>25</v>
      </c>
      <c r="D6" s="119" t="s">
        <v>261</v>
      </c>
      <c r="E6" s="119"/>
      <c r="F6" s="119"/>
    </row>
    <row r="7" customFormat="false" ht="19.5" hidden="false" customHeight="true" outlineLevel="0" collapsed="false">
      <c r="A7" s="117" t="s">
        <v>262</v>
      </c>
      <c r="B7" s="117"/>
      <c r="C7" s="121" t="n">
        <f aca="false">'💰 Cash Forecast'!D20</f>
        <v>879690</v>
      </c>
      <c r="D7" s="119" t="s">
        <v>263</v>
      </c>
      <c r="E7" s="119"/>
      <c r="F7" s="119"/>
    </row>
    <row r="8" customFormat="false" ht="19.5" hidden="false" customHeight="true" outlineLevel="0" collapsed="false">
      <c r="A8" s="117" t="s">
        <v>264</v>
      </c>
      <c r="B8" s="117"/>
      <c r="C8" s="122" t="n">
        <f aca="false">'💰 Cash Forecast'!E20</f>
        <v>442510</v>
      </c>
      <c r="D8" s="119" t="s">
        <v>265</v>
      </c>
      <c r="E8" s="119"/>
      <c r="F8" s="119"/>
    </row>
    <row r="9" customFormat="false" ht="19.5" hidden="false" customHeight="true" outlineLevel="0" collapsed="false">
      <c r="A9" s="117" t="s">
        <v>266</v>
      </c>
      <c r="B9" s="117"/>
      <c r="C9" s="123" t="n">
        <f aca="false">'📊 Aging Summary'!F15</f>
        <v>46.12</v>
      </c>
      <c r="D9" s="119" t="s">
        <v>267</v>
      </c>
      <c r="E9" s="119"/>
      <c r="F9" s="119"/>
    </row>
    <row r="11" customFormat="false" ht="27.75" hidden="false" customHeight="true" outlineLevel="0" collapsed="false">
      <c r="A11" s="124" t="s">
        <v>268</v>
      </c>
      <c r="B11" s="124"/>
      <c r="C11" s="124"/>
      <c r="D11" s="124"/>
      <c r="E11" s="124"/>
      <c r="F11" s="124"/>
    </row>
    <row r="12" customFormat="false" ht="19.5" hidden="false" customHeight="true" outlineLevel="0" collapsed="false">
      <c r="A12" s="125" t="s">
        <v>269</v>
      </c>
      <c r="B12" s="125"/>
      <c r="C12" s="119" t="s">
        <v>270</v>
      </c>
      <c r="D12" s="119"/>
      <c r="E12" s="119"/>
      <c r="F12" s="119"/>
    </row>
    <row r="13" customFormat="false" ht="19.5" hidden="false" customHeight="true" outlineLevel="0" collapsed="false">
      <c r="A13" s="125" t="s">
        <v>271</v>
      </c>
      <c r="B13" s="125"/>
      <c r="C13" s="119" t="s">
        <v>272</v>
      </c>
      <c r="D13" s="119"/>
      <c r="E13" s="119"/>
      <c r="F13" s="119"/>
    </row>
    <row r="14" customFormat="false" ht="19.5" hidden="false" customHeight="true" outlineLevel="0" collapsed="false">
      <c r="A14" s="125" t="s">
        <v>273</v>
      </c>
      <c r="B14" s="125"/>
      <c r="C14" s="119" t="s">
        <v>274</v>
      </c>
      <c r="D14" s="119"/>
      <c r="E14" s="119"/>
      <c r="F14" s="119"/>
    </row>
    <row r="15" customFormat="false" ht="19.5" hidden="false" customHeight="true" outlineLevel="0" collapsed="false">
      <c r="A15" s="125" t="s">
        <v>275</v>
      </c>
      <c r="B15" s="125"/>
      <c r="C15" s="119" t="s">
        <v>276</v>
      </c>
      <c r="D15" s="119"/>
      <c r="E15" s="119"/>
      <c r="F15" s="119"/>
    </row>
    <row r="17" customFormat="false" ht="27.75" hidden="false" customHeight="true" outlineLevel="0" collapsed="false">
      <c r="A17" s="126" t="s">
        <v>277</v>
      </c>
      <c r="B17" s="126"/>
      <c r="C17" s="126"/>
      <c r="D17" s="126"/>
      <c r="E17" s="126"/>
      <c r="F17" s="126"/>
    </row>
    <row r="18" customFormat="false" ht="31.5" hidden="false" customHeight="true" outlineLevel="0" collapsed="false">
      <c r="A18" s="127" t="s">
        <v>278</v>
      </c>
      <c r="B18" s="127"/>
      <c r="C18" s="127"/>
      <c r="D18" s="127"/>
      <c r="E18" s="127"/>
      <c r="F18" s="127"/>
    </row>
    <row r="19" customFormat="false" ht="31.5" hidden="false" customHeight="true" outlineLevel="0" collapsed="false">
      <c r="A19" s="127" t="s">
        <v>279</v>
      </c>
      <c r="B19" s="127"/>
      <c r="C19" s="127"/>
      <c r="D19" s="127"/>
      <c r="E19" s="127"/>
      <c r="F19" s="127"/>
    </row>
    <row r="20" customFormat="false" ht="31.5" hidden="false" customHeight="true" outlineLevel="0" collapsed="false">
      <c r="A20" s="127" t="s">
        <v>280</v>
      </c>
      <c r="B20" s="127"/>
      <c r="C20" s="127"/>
      <c r="D20" s="127"/>
      <c r="E20" s="127"/>
      <c r="F20" s="127"/>
    </row>
    <row r="21" customFormat="false" ht="31.5" hidden="false" customHeight="true" outlineLevel="0" collapsed="false">
      <c r="A21" s="127" t="s">
        <v>281</v>
      </c>
      <c r="B21" s="127"/>
      <c r="C21" s="127"/>
      <c r="D21" s="127"/>
      <c r="E21" s="127"/>
      <c r="F21" s="127"/>
    </row>
    <row r="22" customFormat="false" ht="31.5" hidden="false" customHeight="true" outlineLevel="0" collapsed="false">
      <c r="A22" s="127" t="s">
        <v>282</v>
      </c>
      <c r="B22" s="127"/>
      <c r="C22" s="127"/>
      <c r="D22" s="127"/>
      <c r="E22" s="127"/>
      <c r="F22" s="127"/>
    </row>
    <row r="24" customFormat="false" ht="36" hidden="false" customHeight="true" outlineLevel="0" collapsed="false">
      <c r="A24" s="128" t="s">
        <v>283</v>
      </c>
      <c r="B24" s="128"/>
      <c r="C24" s="128"/>
      <c r="D24" s="128"/>
      <c r="E24" s="128"/>
      <c r="F24" s="128"/>
    </row>
  </sheetData>
  <mergeCells count="29">
    <mergeCell ref="A1:F1"/>
    <mergeCell ref="A2:F2"/>
    <mergeCell ref="A4:F4"/>
    <mergeCell ref="A5:B5"/>
    <mergeCell ref="D5:F5"/>
    <mergeCell ref="A6:B6"/>
    <mergeCell ref="D6:F6"/>
    <mergeCell ref="A7:B7"/>
    <mergeCell ref="D7:F7"/>
    <mergeCell ref="A8:B8"/>
    <mergeCell ref="D8:F8"/>
    <mergeCell ref="A9:B9"/>
    <mergeCell ref="D9:F9"/>
    <mergeCell ref="A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7:F17"/>
    <mergeCell ref="A18:F18"/>
    <mergeCell ref="A19:F19"/>
    <mergeCell ref="A20:F20"/>
    <mergeCell ref="A21:F21"/>
    <mergeCell ref="A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2026-05-14T02:20:56Z</dcterms:created>
  <dc:creator>openpyxl</dc:creator>
  <dc:description/>
  <dc:language>en-US</dc:language>
  <cp:lastModifiedBy/>
  <dcterms:modified xsi:type="dcterms:W3CDTF">2026-05-14T02:20:56Z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